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ivi" sheetId="1" state="visible" r:id="rId3"/>
    <sheet name="Bilan" sheetId="2" state="visible" r:id="rId4"/>
    <sheet name="À rassembler" sheetId="3" state="visible" r:id="rId5"/>
  </sheets>
  <definedNames>
    <definedName function="false" hidden="false" localSheetId="0" name="_xlnm.Print_Titles" vbProcedure="false">Suivi!$1:$1</definedName>
    <definedName function="false" hidden="true" localSheetId="0" name="_xlnm._FilterDatabase" vbProcedure="false">Suivi!$A$1:$K$51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<sst xmlns="http://schemas.openxmlformats.org/spreadsheetml/2006/main" count="344" uniqueCount="219">
  <si>
    <t xml:space="preserve">N° Pexels</t>
  </si>
  <si>
    <t xml:space="preserve">Photo</t>
  </si>
  <si>
    <t xml:space="preserve">Statut</t>
  </si>
  <si>
    <t xml:space="preserve">Wikipédia</t>
  </si>
  <si>
    <t xml:space="preserve">Article</t>
  </si>
  <si>
    <t xml:space="preserve">Partie</t>
  </si>
  <si>
    <t xml:space="preserve">Légende</t>
  </si>
  <si>
    <t xml:space="preserve">Fichier sur Commons</t>
  </si>
  <si>
    <t xml:space="preserve">Ajoutée le</t>
  </si>
  <si>
    <t xml:space="preserve">Lien de modification</t>
  </si>
  <si>
    <t xml:space="preserve">Remarques</t>
  </si>
  <si>
    <t xml:space="preserve">Niort, la ville et les flèches de Saint-André</t>
  </si>
  <si>
    <t xml:space="preserve">Prête</t>
  </si>
  <si>
    <t xml:space="preserve">italien</t>
  </si>
  <si>
    <t xml:space="preserve">Niort</t>
  </si>
  <si>
    <t xml:space="preserve">Storia</t>
  </si>
  <si>
    <t xml:space="preserve">Veduta di Niort, dominata dalle guglie della chiesa di Sant'Andrea</t>
  </si>
  <si>
    <t xml:space="preserve">Niort - la ville et les flèches de Saint-André - 2024.jpg</t>
  </si>
  <si>
    <t xml:space="preserve">Modifier la partie</t>
  </si>
  <si>
    <t xml:space="preserve">L'article italien n'a aucune photo dans son texte. Année à confirmer par la date de l'appareil.</t>
  </si>
  <si>
    <t xml:space="preserve">Viaduc de Laval, en noir et blanc</t>
  </si>
  <si>
    <t xml:space="preserve">français</t>
  </si>
  <si>
    <t xml:space="preserve">Viaduc de Laval</t>
  </si>
  <si>
    <t xml:space="preserve">Description</t>
  </si>
  <si>
    <t xml:space="preserve">Les arches en granite du viaduc.</t>
  </si>
  <si>
    <t xml:space="preserve">Laval - viaduc sur la Mayenne - 2022.jpg</t>
  </si>
  <si>
    <t xml:space="preserve">La partie décrit les neuf arches de granite. Année à confirmer par la date de l'appareil.</t>
  </si>
  <si>
    <t xml:space="preserve">Église de Buzy</t>
  </si>
  <si>
    <t xml:space="preserve">basque</t>
  </si>
  <si>
    <t xml:space="preserve">Buzy</t>
  </si>
  <si>
    <t xml:space="preserve">introduction</t>
  </si>
  <si>
    <t xml:space="preserve">Buzyko eliza.</t>
  </si>
  <si>
    <t xml:space="preserve">Buzy - église - 2026.jpg</t>
  </si>
  <si>
    <t xml:space="preserve">L'article basque n'a aucune photo. Légende sans nom d'église : à préciser si Karl le connaît (Saint-Saturnin, fin du XVIIIe siècle, selon l'article français).</t>
  </si>
  <si>
    <t xml:space="preserve">Réplique de la statue de la Liberté, Poitiers</t>
  </si>
  <si>
    <t xml:space="preserve">anglais</t>
  </si>
  <si>
    <t xml:space="preserve">Replicas of the Statue of Liberty</t>
  </si>
  <si>
    <t xml:space="preserve">Other French cities</t>
  </si>
  <si>
    <t xml:space="preserve">The replica on the Place de la Liberté in Poitiers</t>
  </si>
  <si>
    <t xml:space="preserve">Poitiers - réplique de la statue de la Liberté - 2023.jpg</t>
  </si>
  <si>
    <t xml:space="preserve">Le texte cite Poitiers, sans photo. Bartholdi, mort en 1904 : œuvre libre de droits. L'article français « Place de la Liberté (Poitiers) » a déjà trois photos de la statue.</t>
  </si>
  <si>
    <t xml:space="preserve">Remparts du château de Fougères</t>
  </si>
  <si>
    <t xml:space="preserve">À vérifier</t>
  </si>
  <si>
    <t xml:space="preserve">Château de Fougères</t>
  </si>
  <si>
    <t xml:space="preserve">Identifié par Karl le 30 octobre. Photo sans titre sur Pexels : à ajouter au site si elle entre dans un article.</t>
  </si>
  <si>
    <t xml:space="preserve">Remparts du château de Fougères, autre vue</t>
  </si>
  <si>
    <t xml:space="preserve">Identifié par Karl le 30 octobre. Une seule des deux vues.</t>
  </si>
  <si>
    <t xml:space="preserve">Tourelle de Saint-Planchers</t>
  </si>
  <si>
    <t xml:space="preserve">Saint-Planchers</t>
  </si>
  <si>
    <t xml:space="preserve">Identifiée par Karl le 30 octobre. Article à trouver (commune ou balisage de la baie de Granville).</t>
  </si>
  <si>
    <t xml:space="preserve">Pyramide de Chausey</t>
  </si>
  <si>
    <t xml:space="preserve">Îles Chausey</t>
  </si>
  <si>
    <t xml:space="preserve">Identifiée par Karl le 30 octobre. L'article a déjà reçu le phare du Loup le 30 octobre : attendre, ou viser un autre article.</t>
  </si>
  <si>
    <t xml:space="preserve">Chœur gothique de l'abbatiale du Mont-Saint-Michel</t>
  </si>
  <si>
    <t xml:space="preserve">Abbaye du Mont-Saint-Michel</t>
  </si>
  <si>
    <t xml:space="preserve">Confirmé par Karl le 30 octobre. Article très illustré : chercher une partie sur le chœur sans image.</t>
  </si>
  <si>
    <t xml:space="preserve">Campanile à horloge en Mayenne</t>
  </si>
  <si>
    <t xml:space="preserve">À identifier</t>
  </si>
  <si>
    <t xml:space="preserve">Karl confirme la Mayenne : reste la commune et le nom de l'édifice.</t>
  </si>
  <si>
    <t xml:space="preserve">Église néogothique d'Angers</t>
  </si>
  <si>
    <t xml:space="preserve">« La basilique » selon Karl : nom exact à confirmer.</t>
  </si>
  <si>
    <t xml:space="preserve">Bâtiment blanc à clocher à Angoulême</t>
  </si>
  <si>
    <t xml:space="preserve">Angoulême confirmé : reste le nom du bâtiment.</t>
  </si>
  <si>
    <t xml:space="preserve">Façade plateresque en Espagne</t>
  </si>
  <si>
    <t xml:space="preserve">Ville et édifice à identifier.</t>
  </si>
  <si>
    <t xml:space="preserve">Hôtel de ville de Cognac</t>
  </si>
  <si>
    <t xml:space="preserve">En attente</t>
  </si>
  <si>
    <t xml:space="preserve">Cognac - hôtel de ville - 2025.jpg</t>
  </si>
  <si>
    <t xml:space="preserve">Déjà montré dans les articles français, anglais, allemand et espagnol sur Cognac, et dans « Cognac Public Garden ».</t>
  </si>
  <si>
    <t xml:space="preserve">Bilbao, statue de la Loi</t>
  </si>
  <si>
    <t xml:space="preserve">espagnol</t>
  </si>
  <si>
    <t xml:space="preserve">Casa consistorial de Bilbao</t>
  </si>
  <si>
    <t xml:space="preserve">Bilbao - hôtel de ville, statue de la Loi - 2026.jpg</t>
  </si>
  <si>
    <t xml:space="preserve">Retirée deux fois par Xabier (6 et 29 octobre) : ne plus la proposer dans cet article.</t>
  </si>
  <si>
    <t xml:space="preserve">Jardins de Villandry (autres vues)</t>
  </si>
  <si>
    <t xml:space="preserve">Villandry a déjà cinq photos de Karl dans Wikipédia : attendre (aussi 38694060, 38694056, 38694052, 38694044, 38694046).</t>
  </si>
  <si>
    <t xml:space="preserve">Abbaye d'Évron</t>
  </si>
  <si>
    <t xml:space="preserve">Articles français et anglais déjà illustrés ; photos sans titre, pas encore sur le site (aussi 40274392, 40274393, 40274394).</t>
  </si>
  <si>
    <t xml:space="preserve">Le phare du Loup, solitaire dans la brume marine</t>
  </si>
  <si>
    <t xml:space="preserve">Dans l'article</t>
  </si>
  <si>
    <t xml:space="preserve">Pour mémoire</t>
  </si>
  <si>
    <t xml:space="preserve">Le phare du Loup, en mer, dans la brume.</t>
  </si>
  <si>
    <t xml:space="preserve">Îles Chausey - phare du Loup dans la brume - 2025.jpg</t>
  </si>
  <si>
    <t xml:space="preserve">2026-10-30</t>
  </si>
  <si>
    <t xml:space="preserve">Le pic du Midi d'Ossau domine des contreforts brumeux</t>
  </si>
  <si>
    <t xml:space="preserve">Pic du Midi d'Ossau</t>
  </si>
  <si>
    <t xml:space="preserve">Appearance</t>
  </si>
  <si>
    <t xml:space="preserve">The Pic du Midi d'Ossau seen from the north, with its two distinct peaks</t>
  </si>
  <si>
    <t xml:space="preserve">Pic du Midi d'Ossau - vu du nord - 2026.jpg</t>
  </si>
  <si>
    <t xml:space="preserve">Façade et flèche néogothiques de la cathédrale Saint-Jacques de Bilbao, en noir et blanc</t>
  </si>
  <si>
    <t xml:space="preserve">Cathédrale Saint-Jacques de Bilbao</t>
  </si>
  <si>
    <t xml:space="preserve">La façade et la flèche néogothiques.</t>
  </si>
  <si>
    <t xml:space="preserve">Bilbao - cathédrale Saint-Jacques, façade et flèche - 2026.jpg</t>
  </si>
  <si>
    <t xml:space="preserve">Les motifs élaborés des jardins de Villandry, en Centre-Val de Loire</t>
  </si>
  <si>
    <t xml:space="preserve">Parterre</t>
  </si>
  <si>
    <t xml:space="preserve">Gallery</t>
  </si>
  <si>
    <t xml:space="preserve">Box-hedge parterres of the Château de Villandry, France, recreated in the early 20th century</t>
  </si>
  <si>
    <t xml:space="preserve">Villandry - jardins du château vus d'en haut - 2026.jpg</t>
  </si>
  <si>
    <t xml:space="preserve">Les flèches jumelles de l'église Saint-André de Niort, encadrées de verdure en été</t>
  </si>
  <si>
    <t xml:space="preserve">Geografía</t>
  </si>
  <si>
    <t xml:space="preserve">Las dos flechas de la iglesia de Saint-André, en el barrio del mismo nombre</t>
  </si>
  <si>
    <t xml:space="preserve">Niort - flèches de l'église Saint-André dans la verdure - 2025.jpg</t>
  </si>
  <si>
    <t xml:space="preserve">Statue de la Justice sur la façade de l'hôtel de ville de Bilbao</t>
  </si>
  <si>
    <t xml:space="preserve">Bilboko udaletxea</t>
  </si>
  <si>
    <t xml:space="preserve">Eraikina</t>
  </si>
  <si>
    <t xml:space="preserve">Justizia irudikatzen duen eskultura, eskailera nagusian.</t>
  </si>
  <si>
    <t xml:space="preserve">Bilbao - hôtel de ville, statue de la Justice - 2026.jpg</t>
  </si>
  <si>
    <t xml:space="preserve">2026-10-29</t>
  </si>
  <si>
    <t xml:space="preserve">Façade de l'hôtel de ville de Niort</t>
  </si>
  <si>
    <t xml:space="preserve">Hôtel de ville de Niort</t>
  </si>
  <si>
    <t xml:space="preserve">infobox</t>
  </si>
  <si>
    <t xml:space="preserve">Niort - hôtel de ville, façade - 2026.jpg</t>
  </si>
  <si>
    <t xml:space="preserve">Seulement sur Commons : le panneau mène à sa page Commons.</t>
  </si>
  <si>
    <t xml:space="preserve">Vue aérienne des jardins aux motifs soignés du château de Villandry</t>
  </si>
  <si>
    <t xml:space="preserve">Château de Villandry</t>
  </si>
  <si>
    <t xml:space="preserve">The parterre of Passionate Love, one of the four gardens of love in the ornamental garden</t>
  </si>
  <si>
    <t xml:space="preserve">Villandry - jardin d'ornement, Amour passionné - 2026.jpg</t>
  </si>
  <si>
    <t xml:space="preserve">Le potager méticuleusement dessiné du célèbre château de Villandry</t>
  </si>
  <si>
    <t xml:space="preserve">Gardens</t>
  </si>
  <si>
    <t xml:space="preserve">The ornamental kitchen garden, seen from above</t>
  </si>
  <si>
    <t xml:space="preserve">Villandry - potager décoratif vu d'en haut - 2026.jpg</t>
  </si>
  <si>
    <t xml:space="preserve">Vue pittoresque du château de Villandry et de ses jardins reflétés dans un bassin paisible</t>
  </si>
  <si>
    <t xml:space="preserve">The mirror pool of the water garden, with the château in the distance</t>
  </si>
  <si>
    <t xml:space="preserve">Villandry - jardin d'eau et château - 2026.jpg</t>
  </si>
  <si>
    <t xml:space="preserve">Chapelle de Longemer</t>
  </si>
  <si>
    <t xml:space="preserve">Lac de Longemer</t>
  </si>
  <si>
    <t xml:space="preserve">Histoire religieuse</t>
  </si>
  <si>
    <t xml:space="preserve">La chapelle Saint-Florent, sur la rive ouest du lac.</t>
  </si>
  <si>
    <t xml:space="preserve">Xonrupt-Longemer - chapelle Saint-Florent - 2022.jpg</t>
  </si>
  <si>
    <t xml:space="preserve">Phare pittoresque sur la côte rocheuse de Granville, sous un ciel nuageux</t>
  </si>
  <si>
    <t xml:space="preserve">Islas Chausey</t>
  </si>
  <si>
    <t xml:space="preserve">El faro de Chausey en la Gran Isla, visto desde el mar</t>
  </si>
  <si>
    <t xml:space="preserve">Îles Chausey - le phare vu de la mer - 2025.jpg</t>
  </si>
  <si>
    <t xml:space="preserve">L'éclipse solaire totale révèle la couronne solaire au-dessus de la Galice</t>
  </si>
  <si>
    <t xml:space="preserve">Éclipse solaire du 12 août 2026</t>
  </si>
  <si>
    <t xml:space="preserve">Galerie</t>
  </si>
  <si>
    <t xml:space="preserve">Couronne solaire pendant la totalité. Depuis la Galice, en Espagne.</t>
  </si>
  <si>
    <t xml:space="preserve">Éclipse totale de Soleil du 12 août 2026 vue de Galice.jpg</t>
  </si>
  <si>
    <t xml:space="preserve">Superbe façade de l'hôtel de ville de Niort, drapeaux et architecture classique</t>
  </si>
  <si>
    <t xml:space="preserve">Statut patrimonial</t>
  </si>
  <si>
    <t xml:space="preserve">La façade et l'escalier d'accès, compris dans l'inscription. Photographiés le 23 juin 2026.</t>
  </si>
  <si>
    <t xml:space="preserve">Niort - hôtel de ville - 2026.jpg</t>
  </si>
  <si>
    <t xml:space="preserve">Architecture classique de l'hôtel de ville d'Irun, au Pays basque espagnol</t>
  </si>
  <si>
    <t xml:space="preserve">Irungo Udala</t>
  </si>
  <si>
    <t xml:space="preserve">Udaletxea</t>
  </si>
  <si>
    <t xml:space="preserve">Irungo udaletxearen fatxada.</t>
  </si>
  <si>
    <t xml:space="preserve">Irun - hôtel de ville (Casa consistorial) - 2026.jpg</t>
  </si>
  <si>
    <t xml:space="preserve">2026-10-28</t>
  </si>
  <si>
    <t xml:space="preserve">La tour et l'église elliptique de l'Universidad Laboral de Gijón, en Espagne</t>
  </si>
  <si>
    <t xml:space="preserve">asturien</t>
  </si>
  <si>
    <t xml:space="preserve">Universidá Llaboral de Xixón</t>
  </si>
  <si>
    <t xml:space="preserve">La torre</t>
  </si>
  <si>
    <t xml:space="preserve">La torre y la ilesia de la Universidá Llaboral.</t>
  </si>
  <si>
    <t xml:space="preserve">Gijón - Universidad Laboral, tour et église - 2026.jpg</t>
  </si>
  <si>
    <t xml:space="preserve">Majestueuse sculpture d'ange au monument aux Girondins, à Bordeaux, sous un ciel bleu</t>
  </si>
  <si>
    <t xml:space="preserve">Monument aux Girondins</t>
  </si>
  <si>
    <t xml:space="preserve">Le Génie de la Liberté brisant ses chaînes, au sommet de la colonne.</t>
  </si>
  <si>
    <t xml:space="preserve">Bordeaux - monument aux Girondins, Génie de la Liberté - 2026.jpg</t>
  </si>
  <si>
    <t xml:space="preserve">Chemin de terre bordé d'arbres à Moyemont, un été idyllique</t>
  </si>
  <si>
    <t xml:space="preserve">Moyemont</t>
  </si>
  <si>
    <t xml:space="preserve">Géologie et relief</t>
  </si>
  <si>
    <t xml:space="preserve">Chemin de terre bordé d'arbres à Moyemont, en été.</t>
  </si>
  <si>
    <t xml:space="preserve">Moyemont - chemin bordé d'arbres - 2022.jpg</t>
  </si>
  <si>
    <t xml:space="preserve">Un visiteur observe un dolmen préhistorique près de Pau, en noir et blanc</t>
  </si>
  <si>
    <t xml:space="preserve">Dolmen de Buzy</t>
  </si>
  <si>
    <t xml:space="preserve">La table de couverture en marbre gris, longue de 3,75 m, et ses orthostates.</t>
  </si>
  <si>
    <t xml:space="preserve">Buzy - dolmen - 2026.jpg</t>
  </si>
  <si>
    <t xml:space="preserve">2026-10-08</t>
  </si>
  <si>
    <t xml:space="preserve">Façade de la préfecture des Deux-Sèvres à Niort, drapeaux tricolores</t>
  </si>
  <si>
    <t xml:space="preserve">Hôtel de préfecture des Deux-Sèvres</t>
  </si>
  <si>
    <t xml:space="preserve">Niort - hôtel de préfecture des Deux-Sèvres - 2026.jpg</t>
  </si>
  <si>
    <t xml:space="preserve">Vue majestueuse des flèches néogothiques de l'église Saint-André au-dessus de Niort</t>
  </si>
  <si>
    <t xml:space="preserve">Église Saint-André de Niort</t>
  </si>
  <si>
    <t xml:space="preserve">Extérieur</t>
  </si>
  <si>
    <t xml:space="preserve">Les flèches jumelles dominent les toits de Niort.</t>
  </si>
  <si>
    <t xml:space="preserve">Niort - église Saint-André au-dessus de la ville - 2024.jpg</t>
  </si>
  <si>
    <t xml:space="preserve">2026-10-06</t>
  </si>
  <si>
    <t xml:space="preserve">Phare en granit à lanterne verte derrière les arbres aux îles Chausey, France</t>
  </si>
  <si>
    <t xml:space="preserve">Phare de Chausey</t>
  </si>
  <si>
    <t xml:space="preserve">Historique</t>
  </si>
  <si>
    <t xml:space="preserve">La tour carrée du phare, en granite de l'île, et sa lanterne.</t>
  </si>
  <si>
    <t xml:space="preserve">Îles Chausey - la tour du phare - 2025.jpg</t>
  </si>
  <si>
    <t xml:space="preserve">Pont Jacques-Chaban-Delmas</t>
  </si>
  <si>
    <t xml:space="preserve">Écartée</t>
  </si>
  <si>
    <t xml:space="preserve">Pont de 2013 : pas de liberté de panorama en France ; Commons supprimerait la photo.</t>
  </si>
  <si>
    <t xml:space="preserve">Tour Montparnasse</t>
  </si>
  <si>
    <t xml:space="preserve">Tour de 1973 : même raison (liberté de panorama).</t>
  </si>
  <si>
    <t xml:space="preserve">Statue de poilu d'un monument aux morts</t>
  </si>
  <si>
    <t xml:space="preserve">Sculpteur inconnu : droits à vérifier avant tout dépôt.</t>
  </si>
  <si>
    <t xml:space="preserve">Vitraux de la cathédrale de Saint-Malo</t>
  </si>
  <si>
    <t xml:space="preserve">Vitraux peut-être récents : droits d'auteur.</t>
  </si>
  <si>
    <t xml:space="preserve">Hôtel de ville de Bilbao</t>
  </si>
  <si>
    <t xml:space="preserve">L'article espagnol refuse les images en double.</t>
  </si>
  <si>
    <t xml:space="preserve">Monument aux Girondins, détails</t>
  </si>
  <si>
    <t xml:space="preserve">Le Génie de la Liberté de Karl illustre déjà l'article ; place des Quinconces déjà bien illustrée (aussi 39376206, 39386273, 40189676, 39386271, 39386272).</t>
  </si>
  <si>
    <t xml:space="preserve">Zubizuri, tour Iberdrola, Isozaki Atea (Bilbao)</t>
  </si>
  <si>
    <t xml:space="preserve">Articles déjà bien illustrés (aussi 40014635, 40060775, 40014637, 40014631).</t>
  </si>
  <si>
    <t xml:space="preserve">Cathédrale de Poitiers</t>
  </si>
  <si>
    <t xml:space="preserve">Article déjà très illustré (aussi 18890798).</t>
  </si>
  <si>
    <t xml:space="preserve">Basilique Saint-Epvre de Nancy</t>
  </si>
  <si>
    <t xml:space="preserve">La façade est déjà dans l'article français ; pas d'article anglais trouvé.</t>
  </si>
  <si>
    <t xml:space="preserve">Manifestations (poing levé et drapeaux rouges)</t>
  </si>
  <si>
    <t xml:space="preserve">Personnes reconnaissables.</t>
  </si>
  <si>
    <t xml:space="preserve">Halles de Niort</t>
  </si>
  <si>
    <t xml:space="preserve">Image trop retouchée pour une encyclopédie.</t>
  </si>
  <si>
    <t xml:space="preserve">Photos</t>
  </si>
  <si>
    <t xml:space="preserve">Ce que cela veut dire</t>
  </si>
  <si>
    <t xml:space="preserve">Case préparée : la photo est à verser sur Commons, puis à ajouter à l'article.</t>
  </si>
  <si>
    <t xml:space="preserve">Sujet identifié : la session vérifie l'article et prépare la case.</t>
  </si>
  <si>
    <t xml:space="preserve">Karl doit dire ce que montre la photo.</t>
  </si>
  <si>
    <t xml:space="preserve">Pas de bonne place pour l'instant.</t>
  </si>
  <si>
    <t xml:space="preserve">En ligne sur Wikipédia, et dans le panneau du site photo.</t>
  </si>
  <si>
    <t xml:space="preserve">Raison dans la colonne Remarques de l'onglet Suivi.</t>
  </si>
  <si>
    <t xml:space="preserve">Total</t>
  </si>
  <si>
    <t xml:space="preserve">Lignes de l'onglet Suivi (une par photo et par article).</t>
  </si>
  <si>
    <t xml:space="preserve">Mis à jour le 30/10/2026 à partir de vitrine/wikipedia.csv et docs/wiki-suivi/pistes.csv (dépôt PexelsWillwonder).</t>
  </si>
  <si>
    <t xml:space="preserve">Nom du fichier à donner</t>
  </si>
  <si>
    <t xml:space="preserve">Consigne à coller dans Claude, sur le Mac, quand toutes les photos de la liste sont prêtes :</t>
  </si>
  <si>
    <t xml:space="preserve">Je verse mes photos sur Wikimedia Commons. Rassemble les fichiers ORIGINAUX des photos ci-dessous dans le dossier ~/Downloads/Commons à verser/ (crée-le s'il n'existe pas).
Les photos (numéro Pexels → nom à donner au fichier) :
- 23414382 → Niort - la ville et les flèches de Saint-André - 2024.jpg
- 13263155 → Laval - viaduc sur la Mayenne - 2022.jpg
- 39228273 → Buzy - église - 2026.jpg
- 19047674 → Poitiers - réplique de la statue de la Liberté - 2023.jpg
Méthode :
1. Trouve où mon application Telepex garde ses données (par exemple dans ~/Library/Application Support/ ou ~/Library/Containers/, ou dans ses réglages) et lis-les sans rien y modifier. Pour chaque numéro Pexels, retrouve le fichier original sur mon Mac : son chemin ou son nom de fichier d'appareil. Si Telepex ne garde pas ce lien, cherche dans mes dossiers de photos d'après la date de publication et le titre que Telepex donne pour ce numéro, et montre-moi les fichiers candidats avant de choisir.
2. COPIE chaque original dans le dossier (ne déplace rien, ne supprime rien, ne modifie aucun fichier d'origine), en le renommant comme indiqué. Garde chaque fichier intact : pas de recadrage, pas de compression, métadonnées EXIF conservées.
3. Ne télécharge rien depuis Pexels et n'envoie rien sur Internet.
4. À la fin, donne-moi un tableau : numéro Pexels, nom du fichier copié, chemin de l'original, taille en pixels, date de prise de vue (exiftool -DateTimeOriginal), coordonnées GPS s'il y en a. Si l'année de prise de vue diffère de celle du nom, dis-le-moi. Signale chaque photo introuvable, avec les pistes essayées.
</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</si>
</sst>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u val="single"/>
      <sz val="10"/>
      <color rgb="FF0563C1"/>
      <name val="Arial"/>
      <family val="0"/>
      <charset val="1"/>
    </font>
    <font>
      <sz val="10"/>
      <color rgb="FF000000"/>
      <name val="Arial"/>
      <family val="0"/>
      <charset val="1"/>
    </font>
    <font>
      <b val="true"/>
      <sz val="10"/>
      <name val="Arial"/>
      <family val="0"/>
      <charset val="1"/>
    </font>
    <font>
      <sz val="10"/>
      <name val="Arial"/>
      <family val="0"/>
      <charset val="1"/>
    </font>
    <font>
      <b val="true"/>
      <sz val="10"/>
      <color rgb="FF000000"/>
      <name val="Arial"/>
      <family val="0"/>
      <charset val="1"/>
    </font>
    <font>
      <sz val="10"/>
      <color rgb="FF0563C1"/>
      <name val="Arial"/>
      <family val="0"/>
      <charset val="1"/>
    </font>
  </fonts>
  <fills count="9">
    <fill>
      <patternFill patternType="none"/>
    </fill>
    <fill>
      <patternFill patternType="gray125"/>
    </fill>
    <fill>
      <patternFill patternType="solid">
        <fgColor rgb="FF404040"/>
        <bgColor rgb="FF333300"/>
      </patternFill>
    </fill>
    <fill>
      <patternFill patternType="solid">
        <fgColor rgb="FFFFF2CC"/>
        <bgColor rgb="FFFBE5D6"/>
      </patternFill>
    </fill>
    <fill>
      <patternFill patternType="solid">
        <fgColor rgb="FFDDEBF7"/>
        <bgColor rgb="FFEDE7F6"/>
      </patternFill>
    </fill>
    <fill>
      <patternFill patternType="solid">
        <fgColor rgb="FFEDE7F6"/>
        <bgColor rgb="FFF2F2F2"/>
      </patternFill>
    </fill>
    <fill>
      <patternFill patternType="solid">
        <fgColor rgb="FFF2F2F2"/>
        <bgColor rgb="FFEDE7F6"/>
      </patternFill>
    </fill>
    <fill>
      <patternFill patternType="solid">
        <fgColor rgb="FFE2EFDA"/>
        <bgColor rgb="FFDDEBF7"/>
      </patternFill>
    </fill>
    <fill>
      <patternFill patternType="solid">
        <fgColor rgb="FFFBE5D6"/>
        <bgColor rgb="FFFFF2CC"/>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64" fontId="5" fillId="8" borderId="0" xfId="0" applyFont="true" applyBorder="false" applyAlignment="true" applyProtection="false">
      <alignment horizontal="general" vertical="top" textRotation="0" wrapText="true" indent="0" shrinkToFit="false"/>
      <protection locked="true" hidden="false"/>
    </xf>
    <xf numFmtId="164" fontId="6" fillId="8"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xf numFmtId="164" fontId="8" fillId="7" borderId="0" xfId="0" applyFont="true" applyBorder="false" applyAlignment="true" applyProtection="false">
      <alignment horizontal="general" vertical="top" textRotation="0" wrapText="true" indent="0" shrinkToFit="false"/>
      <protection locked="true" hidden="false"/>
    </xf>
    <xf numFmtId="164" fontId="8" fillId="8"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404040"/>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7F6"/>
          <bgColor rgb="FF000000"/>
        </patternFill>
      </fill>
    </dxf>
    <dxf>
      <fill>
        <patternFill patternType="solid">
          <fgColor rgb="FFF2F2F2"/>
          <bgColor rgb="FF000000"/>
        </patternFill>
      </fill>
    </dxf>
    <dxf>
      <fill>
        <patternFill patternType="solid">
          <fgColor rgb="FFFBE5D6"/>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0563C1"/>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EDE7F6"/>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BE5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pexels.com/photo/23414382/" TargetMode="External"/><Relationship Id="rId2" Type="http://schemas.openxmlformats.org/officeDocument/2006/relationships/hyperlink" Target="https://it.wikipedia.org/wiki/Niort" TargetMode="External"/><Relationship Id="rId3" Type="http://schemas.openxmlformats.org/officeDocument/2006/relationships/hyperlink" Target="https://it.wikipedia.org/w/index.php?title=Niort&amp;action=edit&amp;section=1" TargetMode="External"/><Relationship Id="rId4" Type="http://schemas.openxmlformats.org/officeDocument/2006/relationships/hyperlink" Target="https://www.pexels.com/photo/13263155/" TargetMode="External"/><Relationship Id="rId5" Type="http://schemas.openxmlformats.org/officeDocument/2006/relationships/hyperlink" Target="https://fr.wikipedia.org/wiki/Viaduc_de_Laval" TargetMode="External"/><Relationship Id="rId6" Type="http://schemas.openxmlformats.org/officeDocument/2006/relationships/hyperlink" Target="https://fr.wikipedia.org/w/index.php?title=Viaduc_de_Laval&amp;action=edit&amp;section=1" TargetMode="External"/><Relationship Id="rId7" Type="http://schemas.openxmlformats.org/officeDocument/2006/relationships/hyperlink" Target="https://www.pexels.com/photo/39228273/" TargetMode="External"/><Relationship Id="rId8" Type="http://schemas.openxmlformats.org/officeDocument/2006/relationships/hyperlink" Target="https://eu.wikipedia.org/wiki/Buzy" TargetMode="External"/><Relationship Id="rId9" Type="http://schemas.openxmlformats.org/officeDocument/2006/relationships/hyperlink" Target="https://eu.wikipedia.org/w/index.php?title=Buzy&amp;action=edit&amp;section=0" TargetMode="External"/><Relationship Id="rId10" Type="http://schemas.openxmlformats.org/officeDocument/2006/relationships/hyperlink" Target="https://www.pexels.com/photo/19047674/" TargetMode="External"/><Relationship Id="rId11" Type="http://schemas.openxmlformats.org/officeDocument/2006/relationships/hyperlink" Target="https://en.wikipedia.org/wiki/Replicas_of_the_Statue_of_Liberty" TargetMode="External"/><Relationship Id="rId12" Type="http://schemas.openxmlformats.org/officeDocument/2006/relationships/hyperlink" Target="https://en.wikipedia.org/w/index.php?title=Replicas_of_the_Statue_of_Liberty&amp;action=edit&amp;section=12" TargetMode="External"/><Relationship Id="rId13" Type="http://schemas.openxmlformats.org/officeDocument/2006/relationships/hyperlink" Target="https://www.pexels.com/photo/35104310/" TargetMode="External"/><Relationship Id="rId14" Type="http://schemas.openxmlformats.org/officeDocument/2006/relationships/hyperlink" Target="https://fr.wikipedia.org/wiki/Ch&#226;teau_de_Foug&#232;res" TargetMode="External"/><Relationship Id="rId15" Type="http://schemas.openxmlformats.org/officeDocument/2006/relationships/hyperlink" Target="https://www.pexels.com/photo/35104307/" TargetMode="External"/><Relationship Id="rId16" Type="http://schemas.openxmlformats.org/officeDocument/2006/relationships/hyperlink" Target="https://fr.wikipedia.org/wiki/Ch&#226;teau_de_Foug&#232;res" TargetMode="External"/><Relationship Id="rId17" Type="http://schemas.openxmlformats.org/officeDocument/2006/relationships/hyperlink" Target="https://www.pexels.com/photo/34939467/" TargetMode="External"/><Relationship Id="rId18" Type="http://schemas.openxmlformats.org/officeDocument/2006/relationships/hyperlink" Target="https://fr.wikipedia.org/wiki/Saint-Planchers" TargetMode="External"/><Relationship Id="rId19" Type="http://schemas.openxmlformats.org/officeDocument/2006/relationships/hyperlink" Target="https://www.pexels.com/photo/34894969/" TargetMode="External"/><Relationship Id="rId20" Type="http://schemas.openxmlformats.org/officeDocument/2006/relationships/hyperlink" Target="https://fr.wikipedia.org/wiki/&#206;les_Chausey" TargetMode="External"/><Relationship Id="rId21" Type="http://schemas.openxmlformats.org/officeDocument/2006/relationships/hyperlink" Target="https://www.pexels.com/photo/34849705/" TargetMode="External"/><Relationship Id="rId22" Type="http://schemas.openxmlformats.org/officeDocument/2006/relationships/hyperlink" Target="https://fr.wikipedia.org/wiki/Abbaye_du_Mont-Saint-Michel" TargetMode="External"/><Relationship Id="rId23" Type="http://schemas.openxmlformats.org/officeDocument/2006/relationships/hyperlink" Target="https://www.pexels.com/photo/35168742/" TargetMode="External"/><Relationship Id="rId24" Type="http://schemas.openxmlformats.org/officeDocument/2006/relationships/hyperlink" Target="https://www.pexels.com/photo/32053231/" TargetMode="External"/><Relationship Id="rId25" Type="http://schemas.openxmlformats.org/officeDocument/2006/relationships/hyperlink" Target="https://www.pexels.com/photo/12076681/" TargetMode="External"/><Relationship Id="rId26" Type="http://schemas.openxmlformats.org/officeDocument/2006/relationships/hyperlink" Target="https://www.pexels.com/photo/39517000/" TargetMode="External"/><Relationship Id="rId27" Type="http://schemas.openxmlformats.org/officeDocument/2006/relationships/hyperlink" Target="https://www.pexels.com/photo/34500384/" TargetMode="External"/><Relationship Id="rId28" Type="http://schemas.openxmlformats.org/officeDocument/2006/relationships/hyperlink" Target="https://commons.wikimedia.org/wiki/File:Cognac_-_h&#244;tel_de_ville_-_2025.jpg" TargetMode="External"/><Relationship Id="rId29" Type="http://schemas.openxmlformats.org/officeDocument/2006/relationships/hyperlink" Target="https://www.pexels.com/photo/39903594/" TargetMode="External"/><Relationship Id="rId30" Type="http://schemas.openxmlformats.org/officeDocument/2006/relationships/hyperlink" Target="https://es.wikipedia.org/wiki/Casa_consistorial_de_Bilbao" TargetMode="External"/><Relationship Id="rId31" Type="http://schemas.openxmlformats.org/officeDocument/2006/relationships/hyperlink" Target="https://commons.wikimedia.org/wiki/File:Bilbao_-_h&#244;tel_de_ville%2C_statue_de_la_Loi_-_2026.jpg" TargetMode="External"/><Relationship Id="rId32" Type="http://schemas.openxmlformats.org/officeDocument/2006/relationships/hyperlink" Target="https://www.pexels.com/photo/38694057/" TargetMode="External"/><Relationship Id="rId33" Type="http://schemas.openxmlformats.org/officeDocument/2006/relationships/hyperlink" Target="https://www.pexels.com/photo/40274380/" TargetMode="External"/><Relationship Id="rId34" Type="http://schemas.openxmlformats.org/officeDocument/2006/relationships/hyperlink" Target="https://www.pexels.com/photo/34894953/" TargetMode="External"/><Relationship Id="rId35" Type="http://schemas.openxmlformats.org/officeDocument/2006/relationships/hyperlink" Target="https://fr.wikipedia.org/wiki/&#206;les_Chausey" TargetMode="External"/><Relationship Id="rId36" Type="http://schemas.openxmlformats.org/officeDocument/2006/relationships/hyperlink" Target="https://commons.wikimedia.org/wiki/File:&#206;les_Chausey_-_phare_du_Loup_dans_la_brume_-_2025.jpg" TargetMode="External"/><Relationship Id="rId37" Type="http://schemas.openxmlformats.org/officeDocument/2006/relationships/hyperlink" Target="https://www.pexels.com/photo/39212543/" TargetMode="External"/><Relationship Id="rId38" Type="http://schemas.openxmlformats.org/officeDocument/2006/relationships/hyperlink" Target="https://en.wikipedia.org/wiki/Pic_du_Midi_d%27Ossau" TargetMode="External"/><Relationship Id="rId39" Type="http://schemas.openxmlformats.org/officeDocument/2006/relationships/hyperlink" Target="https://commons.wikimedia.org/wiki/File:Pic_du_Midi_d%27Ossau_-_vu_du_nord_-_2026.jpg" TargetMode="External"/><Relationship Id="rId40" Type="http://schemas.openxmlformats.org/officeDocument/2006/relationships/hyperlink" Target="https://www.pexels.com/photo/39903591/" TargetMode="External"/><Relationship Id="rId41" Type="http://schemas.openxmlformats.org/officeDocument/2006/relationships/hyperlink" Target="https://fr.wikipedia.org/wiki/Cath&#233;drale_Saint-Jacques_de_Bilbao" TargetMode="External"/><Relationship Id="rId42" Type="http://schemas.openxmlformats.org/officeDocument/2006/relationships/hyperlink" Target="https://commons.wikimedia.org/wiki/File:Bilbao_-_cath&#233;drale_Saint-Jacques%2C_fa&#231;ade_et_fl&#232;che_-_2026.jpg" TargetMode="External"/><Relationship Id="rId43" Type="http://schemas.openxmlformats.org/officeDocument/2006/relationships/hyperlink" Target="https://www.pexels.com/photo/38694047/" TargetMode="External"/><Relationship Id="rId44" Type="http://schemas.openxmlformats.org/officeDocument/2006/relationships/hyperlink" Target="https://en.wikipedia.org/wiki/Parterre" TargetMode="External"/><Relationship Id="rId45" Type="http://schemas.openxmlformats.org/officeDocument/2006/relationships/hyperlink" Target="https://commons.wikimedia.org/wiki/File:Villandry_-_jardins_du_ch&#226;teau_vus_d%27en_haut_-_2026.jpg" TargetMode="External"/><Relationship Id="rId46" Type="http://schemas.openxmlformats.org/officeDocument/2006/relationships/hyperlink" Target="https://www.pexels.com/photo/33035661/" TargetMode="External"/><Relationship Id="rId47" Type="http://schemas.openxmlformats.org/officeDocument/2006/relationships/hyperlink" Target="https://es.wikipedia.org/wiki/Niort" TargetMode="External"/><Relationship Id="rId48" Type="http://schemas.openxmlformats.org/officeDocument/2006/relationships/hyperlink" Target="https://commons.wikimedia.org/wiki/File:Niort_-_fl&#232;ches_de_l%27&#233;glise_Saint-Andr&#233;_dans_la_verdure_-_2025.jpg" TargetMode="External"/><Relationship Id="rId49" Type="http://schemas.openxmlformats.org/officeDocument/2006/relationships/hyperlink" Target="https://www.pexels.com/photo/39903593/" TargetMode="External"/><Relationship Id="rId50" Type="http://schemas.openxmlformats.org/officeDocument/2006/relationships/hyperlink" Target="https://eu.wikipedia.org/wiki/Bilboko_udaletxea" TargetMode="External"/><Relationship Id="rId51" Type="http://schemas.openxmlformats.org/officeDocument/2006/relationships/hyperlink" Target="https://commons.wikimedia.org/wiki/File:Bilbao_-_h&#244;tel_de_ville%2C_statue_de_la_Justice_-_2026.jpg" TargetMode="External"/><Relationship Id="rId52" Type="http://schemas.openxmlformats.org/officeDocument/2006/relationships/hyperlink" Target="https://fr.wikipedia.org/wiki/H&#244;tel_de_ville_de_Niort" TargetMode="External"/><Relationship Id="rId53" Type="http://schemas.openxmlformats.org/officeDocument/2006/relationships/hyperlink" Target="https://commons.wikimedia.org/wiki/File:Niort_-_h&#244;tel_de_ville%2C_fa&#231;ade_-_2026.jpg" TargetMode="External"/><Relationship Id="rId54" Type="http://schemas.openxmlformats.org/officeDocument/2006/relationships/hyperlink" Target="https://www.pexels.com/photo/38694055/" TargetMode="External"/><Relationship Id="rId55" Type="http://schemas.openxmlformats.org/officeDocument/2006/relationships/hyperlink" Target="https://en.wikipedia.org/wiki/Ch&#226;teau_de_Villandry" TargetMode="External"/><Relationship Id="rId56" Type="http://schemas.openxmlformats.org/officeDocument/2006/relationships/hyperlink" Target="https://commons.wikimedia.org/wiki/File:Villandry_-_jardin_d%27ornement%2C_Amour_passionn&#233;_-_2026.jpg" TargetMode="External"/><Relationship Id="rId57" Type="http://schemas.openxmlformats.org/officeDocument/2006/relationships/hyperlink" Target="https://www.pexels.com/photo/38694059/" TargetMode="External"/><Relationship Id="rId58" Type="http://schemas.openxmlformats.org/officeDocument/2006/relationships/hyperlink" Target="https://en.wikipedia.org/wiki/Ch&#226;teau_de_Villandry" TargetMode="External"/><Relationship Id="rId59" Type="http://schemas.openxmlformats.org/officeDocument/2006/relationships/hyperlink" Target="https://commons.wikimedia.org/wiki/File:Villandry_-_potager_d&#233;coratif_vu_d%27en_haut_-_2026.jpg" TargetMode="External"/><Relationship Id="rId60" Type="http://schemas.openxmlformats.org/officeDocument/2006/relationships/hyperlink" Target="https://www.pexels.com/photo/38694048/" TargetMode="External"/><Relationship Id="rId61" Type="http://schemas.openxmlformats.org/officeDocument/2006/relationships/hyperlink" Target="https://en.wikipedia.org/wiki/Ch&#226;teau_de_Villandry" TargetMode="External"/><Relationship Id="rId62" Type="http://schemas.openxmlformats.org/officeDocument/2006/relationships/hyperlink" Target="https://commons.wikimedia.org/wiki/File:Villandry_-_jardin_d%27eau_et_ch&#226;teau_-_2026.jpg" TargetMode="External"/><Relationship Id="rId63" Type="http://schemas.openxmlformats.org/officeDocument/2006/relationships/hyperlink" Target="https://www.pexels.com/photo/13041935/" TargetMode="External"/><Relationship Id="rId64" Type="http://schemas.openxmlformats.org/officeDocument/2006/relationships/hyperlink" Target="https://fr.wikipedia.org/wiki/Lac_de_Longemer" TargetMode="External"/><Relationship Id="rId65" Type="http://schemas.openxmlformats.org/officeDocument/2006/relationships/hyperlink" Target="https://commons.wikimedia.org/wiki/File:Xonrupt-Longemer_-_chapelle_Saint-Florent_-_2022.jpg" TargetMode="External"/><Relationship Id="rId66" Type="http://schemas.openxmlformats.org/officeDocument/2006/relationships/hyperlink" Target="https://www.pexels.com/photo/34894970/" TargetMode="External"/><Relationship Id="rId67" Type="http://schemas.openxmlformats.org/officeDocument/2006/relationships/hyperlink" Target="https://es.wikipedia.org/wiki/Islas_Chausey" TargetMode="External"/><Relationship Id="rId68" Type="http://schemas.openxmlformats.org/officeDocument/2006/relationships/hyperlink" Target="https://commons.wikimedia.org/wiki/File:&#206;les_Chausey_-_le_phare_vu_de_la_mer_-_2025.jpg" TargetMode="External"/><Relationship Id="rId69" Type="http://schemas.openxmlformats.org/officeDocument/2006/relationships/hyperlink" Target="https://www.pexels.com/photo/38995522/" TargetMode="External"/><Relationship Id="rId70" Type="http://schemas.openxmlformats.org/officeDocument/2006/relationships/hyperlink" Target="https://fr.wikipedia.org/wiki/&#201;clipse_solaire_du_12_ao&#251;t_2026" TargetMode="External"/><Relationship Id="rId71" Type="http://schemas.openxmlformats.org/officeDocument/2006/relationships/hyperlink" Target="https://commons.wikimedia.org/wiki/File:&#201;clipse_totale_de_Soleil_du_12_ao&#251;t_2026_vue_de_Galice.jpg" TargetMode="External"/><Relationship Id="rId72" Type="http://schemas.openxmlformats.org/officeDocument/2006/relationships/hyperlink" Target="https://www.pexels.com/photo/38279504/" TargetMode="External"/><Relationship Id="rId73" Type="http://schemas.openxmlformats.org/officeDocument/2006/relationships/hyperlink" Target="https://fr.wikipedia.org/wiki/H&#244;tel_de_ville_de_Niort" TargetMode="External"/><Relationship Id="rId74" Type="http://schemas.openxmlformats.org/officeDocument/2006/relationships/hyperlink" Target="https://commons.wikimedia.org/wiki/File:Niort_-_h&#244;tel_de_ville_-_2026.jpg" TargetMode="External"/><Relationship Id="rId75" Type="http://schemas.openxmlformats.org/officeDocument/2006/relationships/hyperlink" Target="https://www.pexels.com/photo/39423921/" TargetMode="External"/><Relationship Id="rId76" Type="http://schemas.openxmlformats.org/officeDocument/2006/relationships/hyperlink" Target="https://eu.wikipedia.org/wiki/Irungo_Udala" TargetMode="External"/><Relationship Id="rId77" Type="http://schemas.openxmlformats.org/officeDocument/2006/relationships/hyperlink" Target="https://commons.wikimedia.org/wiki/File:Irun_-_h&#244;tel_de_ville_%28Casa_consistorial%29_-_2026.jpg" TargetMode="External"/><Relationship Id="rId78" Type="http://schemas.openxmlformats.org/officeDocument/2006/relationships/hyperlink" Target="https://www.pexels.com/photo/39228699/" TargetMode="External"/><Relationship Id="rId79" Type="http://schemas.openxmlformats.org/officeDocument/2006/relationships/hyperlink" Target="https://ast.wikipedia.org/wiki/Universid&#225;_Llaboral_de_Xix&#243;n" TargetMode="External"/><Relationship Id="rId80" Type="http://schemas.openxmlformats.org/officeDocument/2006/relationships/hyperlink" Target="https://commons.wikimedia.org/wiki/File:Gij&#243;n_-_Universidad_Laboral%2C_tour_et_&#233;glise_-_2026.jpg" TargetMode="External"/><Relationship Id="rId81" Type="http://schemas.openxmlformats.org/officeDocument/2006/relationships/hyperlink" Target="https://www.pexels.com/photo/39376205/" TargetMode="External"/><Relationship Id="rId82" Type="http://schemas.openxmlformats.org/officeDocument/2006/relationships/hyperlink" Target="https://fr.wikipedia.org/wiki/Monument_aux_Girondins" TargetMode="External"/><Relationship Id="rId83" Type="http://schemas.openxmlformats.org/officeDocument/2006/relationships/hyperlink" Target="https://commons.wikimedia.org/wiki/File:Bordeaux_-_monument_aux_Girondins%2C_G&#233;nie_de_la_Libert&#233;_-_2026.jpg" TargetMode="External"/><Relationship Id="rId84" Type="http://schemas.openxmlformats.org/officeDocument/2006/relationships/hyperlink" Target="https://www.pexels.com/photo/13087478/" TargetMode="External"/><Relationship Id="rId85" Type="http://schemas.openxmlformats.org/officeDocument/2006/relationships/hyperlink" Target="https://fr.wikipedia.org/wiki/Moyemont" TargetMode="External"/><Relationship Id="rId86" Type="http://schemas.openxmlformats.org/officeDocument/2006/relationships/hyperlink" Target="https://commons.wikimedia.org/wiki/File:Moyemont_-_chemin_bord&#233;_d%27arbres_-_2022.jpg" TargetMode="External"/><Relationship Id="rId87" Type="http://schemas.openxmlformats.org/officeDocument/2006/relationships/hyperlink" Target="https://www.pexels.com/photo/39182179/" TargetMode="External"/><Relationship Id="rId88" Type="http://schemas.openxmlformats.org/officeDocument/2006/relationships/hyperlink" Target="https://fr.wikipedia.org/wiki/Dolmen_de_Buzy" TargetMode="External"/><Relationship Id="rId89" Type="http://schemas.openxmlformats.org/officeDocument/2006/relationships/hyperlink" Target="https://commons.wikimedia.org/wiki/File:Buzy_-_dolmen_-_2026.jpg" TargetMode="External"/><Relationship Id="rId90" Type="http://schemas.openxmlformats.org/officeDocument/2006/relationships/hyperlink" Target="https://www.pexels.com/photo/38279508/" TargetMode="External"/><Relationship Id="rId91" Type="http://schemas.openxmlformats.org/officeDocument/2006/relationships/hyperlink" Target="https://fr.wikipedia.org/wiki/H&#244;tel_de_pr&#233;fecture_des_Deux-S&#232;vres" TargetMode="External"/><Relationship Id="rId92" Type="http://schemas.openxmlformats.org/officeDocument/2006/relationships/hyperlink" Target="https://commons.wikimedia.org/wiki/File:Niort_-_h&#244;tel_de_pr&#233;fecture_des_Deux-S&#232;vres_-_2026.jpg" TargetMode="External"/><Relationship Id="rId93" Type="http://schemas.openxmlformats.org/officeDocument/2006/relationships/hyperlink" Target="https://www.pexels.com/photo/23414381/" TargetMode="External"/><Relationship Id="rId94" Type="http://schemas.openxmlformats.org/officeDocument/2006/relationships/hyperlink" Target="https://fr.wikipedia.org/wiki/&#201;glise_Saint-Andr&#233;_de_Niort" TargetMode="External"/><Relationship Id="rId95" Type="http://schemas.openxmlformats.org/officeDocument/2006/relationships/hyperlink" Target="https://commons.wikimedia.org/wiki/File:Niort_-_&#233;glise_Saint-Andr&#233;_au-dessus_de_la_ville_-_2024.jpg" TargetMode="External"/><Relationship Id="rId96" Type="http://schemas.openxmlformats.org/officeDocument/2006/relationships/hyperlink" Target="https://www.pexels.com/photo/34894959/" TargetMode="External"/><Relationship Id="rId97" Type="http://schemas.openxmlformats.org/officeDocument/2006/relationships/hyperlink" Target="https://fr.wikipedia.org/wiki/Phare_de_Chausey" TargetMode="External"/><Relationship Id="rId98" Type="http://schemas.openxmlformats.org/officeDocument/2006/relationships/hyperlink" Target="https://commons.wikimedia.org/wiki/File:&#206;les_Chausey_-_la_tour_du_phare_-_2025.jpg" TargetMode="External"/><Relationship Id="rId99" Type="http://schemas.openxmlformats.org/officeDocument/2006/relationships/hyperlink" Target="https://www.pexels.com/photo/40189673/" TargetMode="External"/><Relationship Id="rId100" Type="http://schemas.openxmlformats.org/officeDocument/2006/relationships/hyperlink" Target="https://www.pexels.com/photo/33035634/" TargetMode="External"/><Relationship Id="rId101" Type="http://schemas.openxmlformats.org/officeDocument/2006/relationships/hyperlink" Target="https://www.pexels.com/photo/38688488/" TargetMode="External"/><Relationship Id="rId102" Type="http://schemas.openxmlformats.org/officeDocument/2006/relationships/hyperlink" Target="https://www.pexels.com/photo/13673408/" TargetMode="External"/><Relationship Id="rId103" Type="http://schemas.openxmlformats.org/officeDocument/2006/relationships/hyperlink" Target="https://www.pexels.com/photo/39903592/" TargetMode="External"/><Relationship Id="rId104" Type="http://schemas.openxmlformats.org/officeDocument/2006/relationships/hyperlink" Target="https://www.pexels.com/photo/39386274/" TargetMode="External"/><Relationship Id="rId105" Type="http://schemas.openxmlformats.org/officeDocument/2006/relationships/hyperlink" Target="https://www.pexels.com/photo/40014636/" TargetMode="External"/><Relationship Id="rId106" Type="http://schemas.openxmlformats.org/officeDocument/2006/relationships/hyperlink" Target="https://www.pexels.com/photo/18890794/" TargetMode="External"/><Relationship Id="rId107" Type="http://schemas.openxmlformats.org/officeDocument/2006/relationships/hyperlink" Target="https://www.pexels.com/photo/12976374/" TargetMode="External"/><Relationship Id="rId108" Type="http://schemas.openxmlformats.org/officeDocument/2006/relationships/hyperlink" Target="https://www.pexels.com/photo/16141463/" TargetMode="External"/><Relationship Id="rId109" Type="http://schemas.openxmlformats.org/officeDocument/2006/relationships/hyperlink" Target="https://www.pexels.com/photo/31514837/" TargetMode="External"/><Relationship Id="rId110"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pexels.com/photo/23414382/" TargetMode="External"/><Relationship Id="rId2" Type="http://schemas.openxmlformats.org/officeDocument/2006/relationships/hyperlink" Target="https://www.pexels.com/photo/13263155/" TargetMode="External"/><Relationship Id="rId3" Type="http://schemas.openxmlformats.org/officeDocument/2006/relationships/hyperlink" Target="https://www.pexels.com/photo/39228273/" TargetMode="External"/><Relationship Id="rId4" Type="http://schemas.openxmlformats.org/officeDocument/2006/relationships/hyperlink" Target="https://www.pexels.com/photo/1904767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3" min="3" style="0" width="14"/>
    <col collapsed="false" customWidth="true" hidden="false" outlineLevel="0" max="4" min="4" style="0" width="11"/>
    <col collapsed="false" customWidth="true" hidden="false" outlineLevel="0" max="5" min="5" style="0" width="30"/>
    <col collapsed="false" customWidth="true" hidden="false" outlineLevel="0" max="6" min="6" style="0" width="18"/>
    <col collapsed="false" customWidth="true" hidden="false" outlineLevel="0" max="7" min="7" style="0" width="42"/>
    <col collapsed="false" customWidth="true" hidden="false" outlineLevel="0" max="8" min="8" style="0" width="46"/>
    <col collapsed="false" customWidth="true" hidden="false" outlineLevel="0" max="9" min="9" style="0" width="12"/>
    <col collapsed="false" customWidth="true" hidden="false" outlineLevel="0" max="10" min="10" style="0" width="22"/>
    <col collapsed="false" customWidth="true" hidden="false" outlineLevel="0" max="11" min="11" style="0" width="6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23.85" hidden="false" customHeight="false" outlineLevel="0" collapsed="false">
      <c r="A2" s="2" t="n">
        <v>23414382</v>
      </c>
      <c r="B2" s="3" t="s">
        <v>11</v>
      </c>
      <c r="C2" s="3" t="s">
        <v>12</v>
      </c>
      <c r="D2" s="3" t="s">
        <v>13</v>
      </c>
      <c r="E2" s="2" t="s">
        <v>14</v>
      </c>
      <c r="F2" s="3" t="s">
        <v>15</v>
      </c>
      <c r="G2" s="3" t="s">
        <v>16</v>
      </c>
      <c r="H2" s="3" t="s">
        <v>17</v>
      </c>
      <c r="I2" s="3"/>
      <c r="J2" s="2" t="s">
        <v>18</v>
      </c>
      <c r="K2" s="3" t="s">
        <v>19</v>
      </c>
    </row>
    <row r="3" customFormat="false" ht="23.85" hidden="false" customHeight="false" outlineLevel="0" collapsed="false">
      <c r="A3" s="2" t="n">
        <v>13263155</v>
      </c>
      <c r="B3" s="3" t="s">
        <v>20</v>
      </c>
      <c r="C3" s="3" t="s">
        <v>12</v>
      </c>
      <c r="D3" s="3" t="s">
        <v>21</v>
      </c>
      <c r="E3" s="2" t="s">
        <v>22</v>
      </c>
      <c r="F3" s="3" t="s">
        <v>23</v>
      </c>
      <c r="G3" s="3" t="s">
        <v>24</v>
      </c>
      <c r="H3" s="3" t="s">
        <v>25</v>
      </c>
      <c r="I3" s="3"/>
      <c r="J3" s="2" t="s">
        <v>18</v>
      </c>
      <c r="K3" s="3" t="s">
        <v>26</v>
      </c>
    </row>
    <row r="4" customFormat="false" ht="35.05" hidden="false" customHeight="false" outlineLevel="0" collapsed="false">
      <c r="A4" s="2" t="n">
        <v>39228273</v>
      </c>
      <c r="B4" s="3" t="s">
        <v>27</v>
      </c>
      <c r="C4" s="3" t="s">
        <v>12</v>
      </c>
      <c r="D4" s="3" t="s">
        <v>28</v>
      </c>
      <c r="E4" s="2" t="s">
        <v>29</v>
      </c>
      <c r="F4" s="3" t="s">
        <v>30</v>
      </c>
      <c r="G4" s="3" t="s">
        <v>31</v>
      </c>
      <c r="H4" s="3" t="s">
        <v>32</v>
      </c>
      <c r="I4" s="3"/>
      <c r="J4" s="2" t="s">
        <v>18</v>
      </c>
      <c r="K4" s="3" t="s">
        <v>33</v>
      </c>
    </row>
    <row r="5" customFormat="false" ht="35.05" hidden="false" customHeight="false" outlineLevel="0" collapsed="false">
      <c r="A5" s="2" t="n">
        <v>19047674</v>
      </c>
      <c r="B5" s="3" t="s">
        <v>34</v>
      </c>
      <c r="C5" s="3" t="s">
        <v>12</v>
      </c>
      <c r="D5" s="3" t="s">
        <v>35</v>
      </c>
      <c r="E5" s="2" t="s">
        <v>36</v>
      </c>
      <c r="F5" s="3" t="s">
        <v>37</v>
      </c>
      <c r="G5" s="3" t="s">
        <v>38</v>
      </c>
      <c r="H5" s="3" t="s">
        <v>39</v>
      </c>
      <c r="I5" s="3"/>
      <c r="J5" s="2" t="s">
        <v>18</v>
      </c>
      <c r="K5" s="3" t="s">
        <v>40</v>
      </c>
    </row>
    <row r="6" customFormat="false" ht="23.85" hidden="false" customHeight="false" outlineLevel="0" collapsed="false">
      <c r="A6" s="4" t="n">
        <v>35104310</v>
      </c>
      <c r="B6" s="5" t="s">
        <v>41</v>
      </c>
      <c r="C6" s="5" t="s">
        <v>42</v>
      </c>
      <c r="D6" s="5" t="s">
        <v>21</v>
      </c>
      <c r="E6" s="4" t="s">
        <v>43</v>
      </c>
      <c r="F6" s="5"/>
      <c r="G6" s="5"/>
      <c r="H6" s="5"/>
      <c r="I6" s="5"/>
      <c r="J6" s="5"/>
      <c r="K6" s="5" t="s">
        <v>44</v>
      </c>
    </row>
    <row r="7" customFormat="false" ht="15" hidden="false" customHeight="false" outlineLevel="0" collapsed="false">
      <c r="A7" s="4" t="n">
        <v>35104307</v>
      </c>
      <c r="B7" s="5" t="s">
        <v>45</v>
      </c>
      <c r="C7" s="5" t="s">
        <v>42</v>
      </c>
      <c r="D7" s="5" t="s">
        <v>21</v>
      </c>
      <c r="E7" s="4" t="s">
        <v>43</v>
      </c>
      <c r="F7" s="5"/>
      <c r="G7" s="5"/>
      <c r="H7" s="5"/>
      <c r="I7" s="5"/>
      <c r="J7" s="5"/>
      <c r="K7" s="5" t="s">
        <v>46</v>
      </c>
    </row>
    <row r="8" customFormat="false" ht="23.85" hidden="false" customHeight="false" outlineLevel="0" collapsed="false">
      <c r="A8" s="4" t="n">
        <v>34939467</v>
      </c>
      <c r="B8" s="5" t="s">
        <v>47</v>
      </c>
      <c r="C8" s="5" t="s">
        <v>42</v>
      </c>
      <c r="D8" s="5" t="s">
        <v>21</v>
      </c>
      <c r="E8" s="4" t="s">
        <v>48</v>
      </c>
      <c r="F8" s="5"/>
      <c r="G8" s="5"/>
      <c r="H8" s="5"/>
      <c r="I8" s="5"/>
      <c r="J8" s="5"/>
      <c r="K8" s="5" t="s">
        <v>49</v>
      </c>
    </row>
    <row r="9" customFormat="false" ht="23.85" hidden="false" customHeight="false" outlineLevel="0" collapsed="false">
      <c r="A9" s="4" t="n">
        <v>34894969</v>
      </c>
      <c r="B9" s="5" t="s">
        <v>50</v>
      </c>
      <c r="C9" s="5" t="s">
        <v>42</v>
      </c>
      <c r="D9" s="5" t="s">
        <v>21</v>
      </c>
      <c r="E9" s="4" t="s">
        <v>51</v>
      </c>
      <c r="F9" s="5"/>
      <c r="G9" s="5"/>
      <c r="H9" s="5"/>
      <c r="I9" s="5"/>
      <c r="J9" s="5"/>
      <c r="K9" s="5" t="s">
        <v>52</v>
      </c>
    </row>
    <row r="10" customFormat="false" ht="23.85" hidden="false" customHeight="false" outlineLevel="0" collapsed="false">
      <c r="A10" s="4" t="n">
        <v>34849705</v>
      </c>
      <c r="B10" s="5" t="s">
        <v>53</v>
      </c>
      <c r="C10" s="5" t="s">
        <v>42</v>
      </c>
      <c r="D10" s="5" t="s">
        <v>21</v>
      </c>
      <c r="E10" s="4" t="s">
        <v>54</v>
      </c>
      <c r="F10" s="5"/>
      <c r="G10" s="5"/>
      <c r="H10" s="5"/>
      <c r="I10" s="5"/>
      <c r="J10" s="5"/>
      <c r="K10" s="5" t="s">
        <v>55</v>
      </c>
    </row>
    <row r="11" customFormat="false" ht="15" hidden="false" customHeight="false" outlineLevel="0" collapsed="false">
      <c r="A11" s="6" t="n">
        <v>35168742</v>
      </c>
      <c r="B11" s="7" t="s">
        <v>56</v>
      </c>
      <c r="C11" s="7" t="s">
        <v>57</v>
      </c>
      <c r="D11" s="7"/>
      <c r="E11" s="7"/>
      <c r="F11" s="7"/>
      <c r="G11" s="7"/>
      <c r="H11" s="7"/>
      <c r="I11" s="7"/>
      <c r="J11" s="7"/>
      <c r="K11" s="7" t="s">
        <v>58</v>
      </c>
    </row>
    <row r="12" customFormat="false" ht="15" hidden="false" customHeight="false" outlineLevel="0" collapsed="false">
      <c r="A12" s="6" t="n">
        <v>32053231</v>
      </c>
      <c r="B12" s="7" t="s">
        <v>59</v>
      </c>
      <c r="C12" s="7" t="s">
        <v>57</v>
      </c>
      <c r="D12" s="7"/>
      <c r="E12" s="7"/>
      <c r="F12" s="7"/>
      <c r="G12" s="7"/>
      <c r="H12" s="7"/>
      <c r="I12" s="7"/>
      <c r="J12" s="7"/>
      <c r="K12" s="7" t="s">
        <v>60</v>
      </c>
    </row>
    <row r="13" customFormat="false" ht="15" hidden="false" customHeight="false" outlineLevel="0" collapsed="false">
      <c r="A13" s="6" t="n">
        <v>12076681</v>
      </c>
      <c r="B13" s="7" t="s">
        <v>61</v>
      </c>
      <c r="C13" s="7" t="s">
        <v>57</v>
      </c>
      <c r="D13" s="7"/>
      <c r="E13" s="7"/>
      <c r="F13" s="7"/>
      <c r="G13" s="7"/>
      <c r="H13" s="7"/>
      <c r="I13" s="7"/>
      <c r="J13" s="7"/>
      <c r="K13" s="7" t="s">
        <v>62</v>
      </c>
    </row>
    <row r="14" customFormat="false" ht="15" hidden="false" customHeight="false" outlineLevel="0" collapsed="false">
      <c r="A14" s="6" t="n">
        <v>39517000</v>
      </c>
      <c r="B14" s="7" t="s">
        <v>63</v>
      </c>
      <c r="C14" s="7" t="s">
        <v>57</v>
      </c>
      <c r="D14" s="7"/>
      <c r="E14" s="7"/>
      <c r="F14" s="7"/>
      <c r="G14" s="7"/>
      <c r="H14" s="7"/>
      <c r="I14" s="7"/>
      <c r="J14" s="7"/>
      <c r="K14" s="7" t="s">
        <v>64</v>
      </c>
    </row>
    <row r="15" customFormat="false" ht="23.85" hidden="false" customHeight="false" outlineLevel="0" collapsed="false">
      <c r="A15" s="8" t="n">
        <v>34500384</v>
      </c>
      <c r="B15" s="9" t="s">
        <v>65</v>
      </c>
      <c r="C15" s="9" t="s">
        <v>66</v>
      </c>
      <c r="D15" s="9"/>
      <c r="E15" s="9"/>
      <c r="F15" s="9"/>
      <c r="G15" s="9"/>
      <c r="H15" s="8" t="s">
        <v>67</v>
      </c>
      <c r="I15" s="9"/>
      <c r="J15" s="9"/>
      <c r="K15" s="9" t="s">
        <v>68</v>
      </c>
    </row>
    <row r="16" customFormat="false" ht="23.85" hidden="false" customHeight="false" outlineLevel="0" collapsed="false">
      <c r="A16" s="8" t="n">
        <v>39903594</v>
      </c>
      <c r="B16" s="9" t="s">
        <v>69</v>
      </c>
      <c r="C16" s="9" t="s">
        <v>66</v>
      </c>
      <c r="D16" s="9" t="s">
        <v>70</v>
      </c>
      <c r="E16" s="8" t="s">
        <v>71</v>
      </c>
      <c r="F16" s="9"/>
      <c r="G16" s="9"/>
      <c r="H16" s="8" t="s">
        <v>72</v>
      </c>
      <c r="I16" s="9"/>
      <c r="J16" s="9"/>
      <c r="K16" s="9" t="s">
        <v>73</v>
      </c>
    </row>
    <row r="17" customFormat="false" ht="23.85" hidden="false" customHeight="false" outlineLevel="0" collapsed="false">
      <c r="A17" s="8" t="n">
        <v>38694057</v>
      </c>
      <c r="B17" s="9" t="s">
        <v>74</v>
      </c>
      <c r="C17" s="9" t="s">
        <v>66</v>
      </c>
      <c r="D17" s="9"/>
      <c r="E17" s="9"/>
      <c r="F17" s="9"/>
      <c r="G17" s="9"/>
      <c r="H17" s="9"/>
      <c r="I17" s="9"/>
      <c r="J17" s="9"/>
      <c r="K17" s="9" t="s">
        <v>75</v>
      </c>
    </row>
    <row r="18" customFormat="false" ht="23.85" hidden="false" customHeight="false" outlineLevel="0" collapsed="false">
      <c r="A18" s="8" t="n">
        <v>40274380</v>
      </c>
      <c r="B18" s="9" t="s">
        <v>76</v>
      </c>
      <c r="C18" s="9" t="s">
        <v>66</v>
      </c>
      <c r="D18" s="9"/>
      <c r="E18" s="9"/>
      <c r="F18" s="9"/>
      <c r="G18" s="9"/>
      <c r="H18" s="9"/>
      <c r="I18" s="9"/>
      <c r="J18" s="9"/>
      <c r="K18" s="9" t="s">
        <v>77</v>
      </c>
    </row>
    <row r="19" customFormat="false" ht="15" hidden="false" customHeight="false" outlineLevel="0" collapsed="false">
      <c r="A19" s="10" t="n">
        <v>34894953</v>
      </c>
      <c r="B19" s="11" t="s">
        <v>78</v>
      </c>
      <c r="C19" s="11" t="s">
        <v>79</v>
      </c>
      <c r="D19" s="11" t="s">
        <v>21</v>
      </c>
      <c r="E19" s="10" t="s">
        <v>51</v>
      </c>
      <c r="F19" s="11" t="s">
        <v>80</v>
      </c>
      <c r="G19" s="11" t="s">
        <v>81</v>
      </c>
      <c r="H19" s="10" t="s">
        <v>82</v>
      </c>
      <c r="I19" s="11" t="s">
        <v>83</v>
      </c>
      <c r="J19" s="11"/>
      <c r="K19" s="11"/>
    </row>
    <row r="20" customFormat="false" ht="23.85" hidden="false" customHeight="false" outlineLevel="0" collapsed="false">
      <c r="A20" s="10" t="n">
        <v>39212543</v>
      </c>
      <c r="B20" s="11" t="s">
        <v>84</v>
      </c>
      <c r="C20" s="11" t="s">
        <v>79</v>
      </c>
      <c r="D20" s="11" t="s">
        <v>35</v>
      </c>
      <c r="E20" s="10" t="s">
        <v>85</v>
      </c>
      <c r="F20" s="11" t="s">
        <v>86</v>
      </c>
      <c r="G20" s="11" t="s">
        <v>87</v>
      </c>
      <c r="H20" s="10" t="s">
        <v>88</v>
      </c>
      <c r="I20" s="11" t="s">
        <v>83</v>
      </c>
      <c r="J20" s="11"/>
      <c r="K20" s="11"/>
    </row>
    <row r="21" customFormat="false" ht="23.85" hidden="false" customHeight="false" outlineLevel="0" collapsed="false">
      <c r="A21" s="10" t="n">
        <v>39903591</v>
      </c>
      <c r="B21" s="11" t="s">
        <v>89</v>
      </c>
      <c r="C21" s="11" t="s">
        <v>79</v>
      </c>
      <c r="D21" s="11" t="s">
        <v>21</v>
      </c>
      <c r="E21" s="10" t="s">
        <v>90</v>
      </c>
      <c r="F21" s="11" t="s">
        <v>23</v>
      </c>
      <c r="G21" s="11" t="s">
        <v>91</v>
      </c>
      <c r="H21" s="10" t="s">
        <v>92</v>
      </c>
      <c r="I21" s="11" t="s">
        <v>83</v>
      </c>
      <c r="J21" s="11"/>
      <c r="K21" s="11"/>
    </row>
    <row r="22" customFormat="false" ht="23.85" hidden="false" customHeight="false" outlineLevel="0" collapsed="false">
      <c r="A22" s="10" t="n">
        <v>38694047</v>
      </c>
      <c r="B22" s="11" t="s">
        <v>93</v>
      </c>
      <c r="C22" s="11" t="s">
        <v>79</v>
      </c>
      <c r="D22" s="11" t="s">
        <v>35</v>
      </c>
      <c r="E22" s="10" t="s">
        <v>94</v>
      </c>
      <c r="F22" s="11" t="s">
        <v>95</v>
      </c>
      <c r="G22" s="11" t="s">
        <v>96</v>
      </c>
      <c r="H22" s="10" t="s">
        <v>97</v>
      </c>
      <c r="I22" s="11" t="s">
        <v>83</v>
      </c>
      <c r="J22" s="11"/>
      <c r="K22" s="11"/>
    </row>
    <row r="23" customFormat="false" ht="23.85" hidden="false" customHeight="false" outlineLevel="0" collapsed="false">
      <c r="A23" s="10" t="n">
        <v>33035661</v>
      </c>
      <c r="B23" s="11" t="s">
        <v>98</v>
      </c>
      <c r="C23" s="11" t="s">
        <v>79</v>
      </c>
      <c r="D23" s="11" t="s">
        <v>70</v>
      </c>
      <c r="E23" s="10" t="s">
        <v>14</v>
      </c>
      <c r="F23" s="11" t="s">
        <v>99</v>
      </c>
      <c r="G23" s="11" t="s">
        <v>100</v>
      </c>
      <c r="H23" s="10" t="s">
        <v>101</v>
      </c>
      <c r="I23" s="11" t="s">
        <v>83</v>
      </c>
      <c r="J23" s="11"/>
      <c r="K23" s="11"/>
    </row>
    <row r="24" customFormat="false" ht="23.85" hidden="false" customHeight="false" outlineLevel="0" collapsed="false">
      <c r="A24" s="10" t="n">
        <v>39903593</v>
      </c>
      <c r="B24" s="11" t="s">
        <v>102</v>
      </c>
      <c r="C24" s="11" t="s">
        <v>79</v>
      </c>
      <c r="D24" s="11" t="s">
        <v>28</v>
      </c>
      <c r="E24" s="10" t="s">
        <v>103</v>
      </c>
      <c r="F24" s="11" t="s">
        <v>104</v>
      </c>
      <c r="G24" s="11" t="s">
        <v>105</v>
      </c>
      <c r="H24" s="10" t="s">
        <v>106</v>
      </c>
      <c r="I24" s="11" t="s">
        <v>107</v>
      </c>
      <c r="J24" s="11"/>
      <c r="K24" s="11"/>
    </row>
    <row r="25" customFormat="false" ht="15" hidden="false" customHeight="false" outlineLevel="0" collapsed="false">
      <c r="A25" s="11"/>
      <c r="B25" s="11" t="s">
        <v>108</v>
      </c>
      <c r="C25" s="11" t="s">
        <v>79</v>
      </c>
      <c r="D25" s="11" t="s">
        <v>21</v>
      </c>
      <c r="E25" s="10" t="s">
        <v>109</v>
      </c>
      <c r="F25" s="11" t="s">
        <v>110</v>
      </c>
      <c r="G25" s="11"/>
      <c r="H25" s="10" t="s">
        <v>111</v>
      </c>
      <c r="I25" s="11" t="s">
        <v>107</v>
      </c>
      <c r="J25" s="11"/>
      <c r="K25" s="11" t="s">
        <v>112</v>
      </c>
    </row>
    <row r="26" customFormat="false" ht="23.85" hidden="false" customHeight="false" outlineLevel="0" collapsed="false">
      <c r="A26" s="10" t="n">
        <v>38694055</v>
      </c>
      <c r="B26" s="11" t="s">
        <v>113</v>
      </c>
      <c r="C26" s="11" t="s">
        <v>79</v>
      </c>
      <c r="D26" s="11" t="s">
        <v>35</v>
      </c>
      <c r="E26" s="10" t="s">
        <v>114</v>
      </c>
      <c r="F26" s="11" t="s">
        <v>95</v>
      </c>
      <c r="G26" s="11" t="s">
        <v>115</v>
      </c>
      <c r="H26" s="10" t="s">
        <v>116</v>
      </c>
      <c r="I26" s="11" t="s">
        <v>107</v>
      </c>
      <c r="J26" s="11"/>
      <c r="K26" s="11"/>
    </row>
    <row r="27" customFormat="false" ht="23.85" hidden="false" customHeight="false" outlineLevel="0" collapsed="false">
      <c r="A27" s="10" t="n">
        <v>38694059</v>
      </c>
      <c r="B27" s="11" t="s">
        <v>117</v>
      </c>
      <c r="C27" s="11" t="s">
        <v>79</v>
      </c>
      <c r="D27" s="11" t="s">
        <v>35</v>
      </c>
      <c r="E27" s="10" t="s">
        <v>114</v>
      </c>
      <c r="F27" s="11" t="s">
        <v>118</v>
      </c>
      <c r="G27" s="11" t="s">
        <v>119</v>
      </c>
      <c r="H27" s="10" t="s">
        <v>120</v>
      </c>
      <c r="I27" s="11" t="s">
        <v>107</v>
      </c>
      <c r="J27" s="11"/>
      <c r="K27" s="11"/>
    </row>
    <row r="28" customFormat="false" ht="23.85" hidden="false" customHeight="false" outlineLevel="0" collapsed="false">
      <c r="A28" s="10" t="n">
        <v>38694048</v>
      </c>
      <c r="B28" s="11" t="s">
        <v>121</v>
      </c>
      <c r="C28" s="11" t="s">
        <v>79</v>
      </c>
      <c r="D28" s="11" t="s">
        <v>35</v>
      </c>
      <c r="E28" s="10" t="s">
        <v>114</v>
      </c>
      <c r="F28" s="11" t="s">
        <v>118</v>
      </c>
      <c r="G28" s="11" t="s">
        <v>122</v>
      </c>
      <c r="H28" s="10" t="s">
        <v>123</v>
      </c>
      <c r="I28" s="11" t="s">
        <v>107</v>
      </c>
      <c r="J28" s="11"/>
      <c r="K28" s="11"/>
    </row>
    <row r="29" customFormat="false" ht="15" hidden="false" customHeight="false" outlineLevel="0" collapsed="false">
      <c r="A29" s="10" t="n">
        <v>13041935</v>
      </c>
      <c r="B29" s="11" t="s">
        <v>124</v>
      </c>
      <c r="C29" s="11" t="s">
        <v>79</v>
      </c>
      <c r="D29" s="11" t="s">
        <v>21</v>
      </c>
      <c r="E29" s="10" t="s">
        <v>125</v>
      </c>
      <c r="F29" s="11" t="s">
        <v>126</v>
      </c>
      <c r="G29" s="11" t="s">
        <v>127</v>
      </c>
      <c r="H29" s="10" t="s">
        <v>128</v>
      </c>
      <c r="I29" s="11" t="s">
        <v>107</v>
      </c>
      <c r="J29" s="11"/>
      <c r="K29" s="11"/>
    </row>
    <row r="30" customFormat="false" ht="23.85" hidden="false" customHeight="false" outlineLevel="0" collapsed="false">
      <c r="A30" s="10" t="n">
        <v>34894970</v>
      </c>
      <c r="B30" s="11" t="s">
        <v>129</v>
      </c>
      <c r="C30" s="11" t="s">
        <v>79</v>
      </c>
      <c r="D30" s="11" t="s">
        <v>70</v>
      </c>
      <c r="E30" s="10" t="s">
        <v>130</v>
      </c>
      <c r="F30" s="11" t="s">
        <v>99</v>
      </c>
      <c r="G30" s="11" t="s">
        <v>131</v>
      </c>
      <c r="H30" s="10" t="s">
        <v>132</v>
      </c>
      <c r="I30" s="11" t="s">
        <v>107</v>
      </c>
      <c r="J30" s="11"/>
      <c r="K30" s="11"/>
    </row>
    <row r="31" customFormat="false" ht="23.85" hidden="false" customHeight="false" outlineLevel="0" collapsed="false">
      <c r="A31" s="10" t="n">
        <v>38995522</v>
      </c>
      <c r="B31" s="11" t="s">
        <v>133</v>
      </c>
      <c r="C31" s="11" t="s">
        <v>79</v>
      </c>
      <c r="D31" s="11" t="s">
        <v>21</v>
      </c>
      <c r="E31" s="10" t="s">
        <v>134</v>
      </c>
      <c r="F31" s="11" t="s">
        <v>135</v>
      </c>
      <c r="G31" s="11" t="s">
        <v>136</v>
      </c>
      <c r="H31" s="10" t="s">
        <v>137</v>
      </c>
      <c r="I31" s="11" t="s">
        <v>107</v>
      </c>
      <c r="J31" s="11"/>
      <c r="K31" s="11"/>
    </row>
    <row r="32" customFormat="false" ht="23.85" hidden="false" customHeight="false" outlineLevel="0" collapsed="false">
      <c r="A32" s="10" t="n">
        <v>38279504</v>
      </c>
      <c r="B32" s="11" t="s">
        <v>138</v>
      </c>
      <c r="C32" s="11" t="s">
        <v>79</v>
      </c>
      <c r="D32" s="11" t="s">
        <v>21</v>
      </c>
      <c r="E32" s="10" t="s">
        <v>109</v>
      </c>
      <c r="F32" s="11" t="s">
        <v>139</v>
      </c>
      <c r="G32" s="11" t="s">
        <v>140</v>
      </c>
      <c r="H32" s="10" t="s">
        <v>141</v>
      </c>
      <c r="I32" s="11" t="s">
        <v>107</v>
      </c>
      <c r="J32" s="11"/>
      <c r="K32" s="11"/>
    </row>
    <row r="33" customFormat="false" ht="23.85" hidden="false" customHeight="false" outlineLevel="0" collapsed="false">
      <c r="A33" s="10" t="n">
        <v>39423921</v>
      </c>
      <c r="B33" s="11" t="s">
        <v>142</v>
      </c>
      <c r="C33" s="11" t="s">
        <v>79</v>
      </c>
      <c r="D33" s="11" t="s">
        <v>28</v>
      </c>
      <c r="E33" s="10" t="s">
        <v>143</v>
      </c>
      <c r="F33" s="11" t="s">
        <v>144</v>
      </c>
      <c r="G33" s="11" t="s">
        <v>145</v>
      </c>
      <c r="H33" s="10" t="s">
        <v>146</v>
      </c>
      <c r="I33" s="11" t="s">
        <v>147</v>
      </c>
      <c r="J33" s="11"/>
      <c r="K33" s="11"/>
    </row>
    <row r="34" customFormat="false" ht="23.85" hidden="false" customHeight="false" outlineLevel="0" collapsed="false">
      <c r="A34" s="10" t="n">
        <v>39228699</v>
      </c>
      <c r="B34" s="11" t="s">
        <v>148</v>
      </c>
      <c r="C34" s="11" t="s">
        <v>79</v>
      </c>
      <c r="D34" s="11" t="s">
        <v>149</v>
      </c>
      <c r="E34" s="10" t="s">
        <v>150</v>
      </c>
      <c r="F34" s="11" t="s">
        <v>151</v>
      </c>
      <c r="G34" s="11" t="s">
        <v>152</v>
      </c>
      <c r="H34" s="10" t="s">
        <v>153</v>
      </c>
      <c r="I34" s="11" t="s">
        <v>147</v>
      </c>
      <c r="J34" s="11"/>
      <c r="K34" s="11"/>
    </row>
    <row r="35" customFormat="false" ht="23.85" hidden="false" customHeight="false" outlineLevel="0" collapsed="false">
      <c r="A35" s="10" t="n">
        <v>39376205</v>
      </c>
      <c r="B35" s="11" t="s">
        <v>154</v>
      </c>
      <c r="C35" s="11" t="s">
        <v>79</v>
      </c>
      <c r="D35" s="11" t="s">
        <v>21</v>
      </c>
      <c r="E35" s="10" t="s">
        <v>155</v>
      </c>
      <c r="F35" s="11" t="s">
        <v>23</v>
      </c>
      <c r="G35" s="11" t="s">
        <v>156</v>
      </c>
      <c r="H35" s="10" t="s">
        <v>157</v>
      </c>
      <c r="I35" s="11" t="s">
        <v>147</v>
      </c>
      <c r="J35" s="11"/>
      <c r="K35" s="11"/>
    </row>
    <row r="36" customFormat="false" ht="23.85" hidden="false" customHeight="false" outlineLevel="0" collapsed="false">
      <c r="A36" s="10" t="n">
        <v>13087478</v>
      </c>
      <c r="B36" s="11" t="s">
        <v>158</v>
      </c>
      <c r="C36" s="11" t="s">
        <v>79</v>
      </c>
      <c r="D36" s="11" t="s">
        <v>21</v>
      </c>
      <c r="E36" s="10" t="s">
        <v>159</v>
      </c>
      <c r="F36" s="11" t="s">
        <v>160</v>
      </c>
      <c r="G36" s="11" t="s">
        <v>161</v>
      </c>
      <c r="H36" s="10" t="s">
        <v>162</v>
      </c>
      <c r="I36" s="11" t="s">
        <v>147</v>
      </c>
      <c r="J36" s="11"/>
      <c r="K36" s="11"/>
    </row>
    <row r="37" customFormat="false" ht="23.85" hidden="false" customHeight="false" outlineLevel="0" collapsed="false">
      <c r="A37" s="10" t="n">
        <v>39182179</v>
      </c>
      <c r="B37" s="11" t="s">
        <v>163</v>
      </c>
      <c r="C37" s="11" t="s">
        <v>79</v>
      </c>
      <c r="D37" s="11" t="s">
        <v>21</v>
      </c>
      <c r="E37" s="10" t="s">
        <v>164</v>
      </c>
      <c r="F37" s="11" t="s">
        <v>23</v>
      </c>
      <c r="G37" s="11" t="s">
        <v>165</v>
      </c>
      <c r="H37" s="10" t="s">
        <v>166</v>
      </c>
      <c r="I37" s="11" t="s">
        <v>167</v>
      </c>
      <c r="J37" s="11"/>
      <c r="K37" s="11"/>
    </row>
    <row r="38" customFormat="false" ht="23.85" hidden="false" customHeight="false" outlineLevel="0" collapsed="false">
      <c r="A38" s="10" t="n">
        <v>38279508</v>
      </c>
      <c r="B38" s="11" t="s">
        <v>168</v>
      </c>
      <c r="C38" s="11" t="s">
        <v>79</v>
      </c>
      <c r="D38" s="11" t="s">
        <v>21</v>
      </c>
      <c r="E38" s="10" t="s">
        <v>169</v>
      </c>
      <c r="F38" s="11" t="s">
        <v>110</v>
      </c>
      <c r="G38" s="11"/>
      <c r="H38" s="10" t="s">
        <v>170</v>
      </c>
      <c r="I38" s="11" t="s">
        <v>167</v>
      </c>
      <c r="J38" s="11"/>
      <c r="K38" s="11"/>
    </row>
    <row r="39" customFormat="false" ht="23.85" hidden="false" customHeight="false" outlineLevel="0" collapsed="false">
      <c r="A39" s="10" t="n">
        <v>23414381</v>
      </c>
      <c r="B39" s="11" t="s">
        <v>171</v>
      </c>
      <c r="C39" s="11" t="s">
        <v>79</v>
      </c>
      <c r="D39" s="11" t="s">
        <v>21</v>
      </c>
      <c r="E39" s="10" t="s">
        <v>172</v>
      </c>
      <c r="F39" s="11" t="s">
        <v>173</v>
      </c>
      <c r="G39" s="11" t="s">
        <v>174</v>
      </c>
      <c r="H39" s="10" t="s">
        <v>175</v>
      </c>
      <c r="I39" s="11" t="s">
        <v>176</v>
      </c>
      <c r="J39" s="11"/>
      <c r="K39" s="11"/>
    </row>
    <row r="40" customFormat="false" ht="23.85" hidden="false" customHeight="false" outlineLevel="0" collapsed="false">
      <c r="A40" s="10" t="n">
        <v>34894959</v>
      </c>
      <c r="B40" s="11" t="s">
        <v>177</v>
      </c>
      <c r="C40" s="11" t="s">
        <v>79</v>
      </c>
      <c r="D40" s="11" t="s">
        <v>21</v>
      </c>
      <c r="E40" s="10" t="s">
        <v>178</v>
      </c>
      <c r="F40" s="11" t="s">
        <v>179</v>
      </c>
      <c r="G40" s="11" t="s">
        <v>180</v>
      </c>
      <c r="H40" s="10" t="s">
        <v>181</v>
      </c>
      <c r="I40" s="11" t="s">
        <v>176</v>
      </c>
      <c r="J40" s="11"/>
      <c r="K40" s="11"/>
    </row>
    <row r="41" customFormat="false" ht="23.85" hidden="false" customHeight="false" outlineLevel="0" collapsed="false">
      <c r="A41" s="12" t="n">
        <v>40189673</v>
      </c>
      <c r="B41" s="13" t="s">
        <v>182</v>
      </c>
      <c r="C41" s="13" t="s">
        <v>183</v>
      </c>
      <c r="D41" s="13"/>
      <c r="E41" s="13"/>
      <c r="F41" s="13"/>
      <c r="G41" s="13"/>
      <c r="H41" s="13"/>
      <c r="I41" s="13"/>
      <c r="J41" s="13"/>
      <c r="K41" s="13" t="s">
        <v>184</v>
      </c>
    </row>
    <row r="42" customFormat="false" ht="15" hidden="false" customHeight="false" outlineLevel="0" collapsed="false">
      <c r="A42" s="12" t="n">
        <v>33035634</v>
      </c>
      <c r="B42" s="13" t="s">
        <v>185</v>
      </c>
      <c r="C42" s="13" t="s">
        <v>183</v>
      </c>
      <c r="D42" s="13"/>
      <c r="E42" s="13"/>
      <c r="F42" s="13"/>
      <c r="G42" s="13"/>
      <c r="H42" s="13"/>
      <c r="I42" s="13"/>
      <c r="J42" s="13"/>
      <c r="K42" s="13" t="s">
        <v>186</v>
      </c>
    </row>
    <row r="43" customFormat="false" ht="15" hidden="false" customHeight="false" outlineLevel="0" collapsed="false">
      <c r="A43" s="12" t="n">
        <v>38688488</v>
      </c>
      <c r="B43" s="13" t="s">
        <v>187</v>
      </c>
      <c r="C43" s="13" t="s">
        <v>183</v>
      </c>
      <c r="D43" s="13"/>
      <c r="E43" s="13"/>
      <c r="F43" s="13"/>
      <c r="G43" s="13"/>
      <c r="H43" s="13"/>
      <c r="I43" s="13"/>
      <c r="J43" s="13"/>
      <c r="K43" s="13" t="s">
        <v>188</v>
      </c>
    </row>
    <row r="44" customFormat="false" ht="15" hidden="false" customHeight="false" outlineLevel="0" collapsed="false">
      <c r="A44" s="12" t="n">
        <v>13673408</v>
      </c>
      <c r="B44" s="13" t="s">
        <v>189</v>
      </c>
      <c r="C44" s="13" t="s">
        <v>183</v>
      </c>
      <c r="D44" s="13"/>
      <c r="E44" s="13"/>
      <c r="F44" s="13"/>
      <c r="G44" s="13"/>
      <c r="H44" s="13"/>
      <c r="I44" s="13"/>
      <c r="J44" s="13"/>
      <c r="K44" s="13" t="s">
        <v>190</v>
      </c>
    </row>
    <row r="45" customFormat="false" ht="15" hidden="false" customHeight="false" outlineLevel="0" collapsed="false">
      <c r="A45" s="12" t="n">
        <v>39903592</v>
      </c>
      <c r="B45" s="13" t="s">
        <v>191</v>
      </c>
      <c r="C45" s="13" t="s">
        <v>183</v>
      </c>
      <c r="D45" s="13"/>
      <c r="E45" s="13"/>
      <c r="F45" s="13"/>
      <c r="G45" s="13"/>
      <c r="H45" s="13"/>
      <c r="I45" s="13"/>
      <c r="J45" s="13"/>
      <c r="K45" s="13" t="s">
        <v>192</v>
      </c>
    </row>
    <row r="46" customFormat="false" ht="35.05" hidden="false" customHeight="false" outlineLevel="0" collapsed="false">
      <c r="A46" s="12" t="n">
        <v>39386274</v>
      </c>
      <c r="B46" s="13" t="s">
        <v>193</v>
      </c>
      <c r="C46" s="13" t="s">
        <v>183</v>
      </c>
      <c r="D46" s="13"/>
      <c r="E46" s="13"/>
      <c r="F46" s="13"/>
      <c r="G46" s="13"/>
      <c r="H46" s="13"/>
      <c r="I46" s="13"/>
      <c r="J46" s="13"/>
      <c r="K46" s="13" t="s">
        <v>194</v>
      </c>
    </row>
    <row r="47" customFormat="false" ht="23.85" hidden="false" customHeight="false" outlineLevel="0" collapsed="false">
      <c r="A47" s="12" t="n">
        <v>40014636</v>
      </c>
      <c r="B47" s="13" t="s">
        <v>195</v>
      </c>
      <c r="C47" s="13" t="s">
        <v>183</v>
      </c>
      <c r="D47" s="13"/>
      <c r="E47" s="13"/>
      <c r="F47" s="13"/>
      <c r="G47" s="13"/>
      <c r="H47" s="13"/>
      <c r="I47" s="13"/>
      <c r="J47" s="13"/>
      <c r="K47" s="13" t="s">
        <v>196</v>
      </c>
    </row>
    <row r="48" customFormat="false" ht="15" hidden="false" customHeight="false" outlineLevel="0" collapsed="false">
      <c r="A48" s="12" t="n">
        <v>18890794</v>
      </c>
      <c r="B48" s="13" t="s">
        <v>197</v>
      </c>
      <c r="C48" s="13" t="s">
        <v>183</v>
      </c>
      <c r="D48" s="13"/>
      <c r="E48" s="13"/>
      <c r="F48" s="13"/>
      <c r="G48" s="13"/>
      <c r="H48" s="13"/>
      <c r="I48" s="13"/>
      <c r="J48" s="13"/>
      <c r="K48" s="13" t="s">
        <v>198</v>
      </c>
    </row>
    <row r="49" customFormat="false" ht="15" hidden="false" customHeight="false" outlineLevel="0" collapsed="false">
      <c r="A49" s="12" t="n">
        <v>12976374</v>
      </c>
      <c r="B49" s="13" t="s">
        <v>199</v>
      </c>
      <c r="C49" s="13" t="s">
        <v>183</v>
      </c>
      <c r="D49" s="13"/>
      <c r="E49" s="13"/>
      <c r="F49" s="13"/>
      <c r="G49" s="13"/>
      <c r="H49" s="13"/>
      <c r="I49" s="13"/>
      <c r="J49" s="13"/>
      <c r="K49" s="13" t="s">
        <v>200</v>
      </c>
    </row>
    <row r="50" customFormat="false" ht="15" hidden="false" customHeight="false" outlineLevel="0" collapsed="false">
      <c r="A50" s="12" t="n">
        <v>16141463</v>
      </c>
      <c r="B50" s="13" t="s">
        <v>201</v>
      </c>
      <c r="C50" s="13" t="s">
        <v>183</v>
      </c>
      <c r="D50" s="13"/>
      <c r="E50" s="13"/>
      <c r="F50" s="13"/>
      <c r="G50" s="13"/>
      <c r="H50" s="13"/>
      <c r="I50" s="13"/>
      <c r="J50" s="13"/>
      <c r="K50" s="13" t="s">
        <v>202</v>
      </c>
    </row>
    <row r="51" customFormat="false" ht="15" hidden="false" customHeight="false" outlineLevel="0" collapsed="false">
      <c r="A51" s="12" t="n">
        <v>31514837</v>
      </c>
      <c r="B51" s="13" t="s">
        <v>203</v>
      </c>
      <c r="C51" s="13" t="s">
        <v>183</v>
      </c>
      <c r="D51" s="13"/>
      <c r="E51" s="13"/>
      <c r="F51" s="13"/>
      <c r="G51" s="13"/>
      <c r="H51" s="13"/>
      <c r="I51" s="13"/>
      <c r="J51" s="13"/>
      <c r="K51" s="13" t="s">
        <v>204</v>
      </c>
    </row>
  </sheetData>
  <autoFilter ref="A1:K51"/>
  <hyperlinks>
    <hyperlink ref="A2" r:id="rId1" display="https://www.pexels.com/photo/23414382/"/>
    <hyperlink ref="E2" r:id="rId2" display="Niort"/>
    <hyperlink ref="J2" r:id="rId3" display="Modifier la partie"/>
    <hyperlink ref="A3" r:id="rId4" display="https://www.pexels.com/photo/13263155/"/>
    <hyperlink ref="E3" r:id="rId5" display="Viaduc de Laval"/>
    <hyperlink ref="J3" r:id="rId6" display="Modifier la partie"/>
    <hyperlink ref="A4" r:id="rId7" display="https://www.pexels.com/photo/39228273/"/>
    <hyperlink ref="E4" r:id="rId8" display="Buzy"/>
    <hyperlink ref="J4" r:id="rId9" display="Modifier la partie"/>
    <hyperlink ref="A5" r:id="rId10" display="https://www.pexels.com/photo/19047674/"/>
    <hyperlink ref="E5" r:id="rId11" display="Replicas of the Statue of Liberty"/>
    <hyperlink ref="J5" r:id="rId12" display="Modifier la partie"/>
    <hyperlink ref="A6" r:id="rId13" display="https://www.pexels.com/photo/35104310/"/>
    <hyperlink ref="E6" r:id="rId14" display="Château de Fougères"/>
    <hyperlink ref="A7" r:id="rId15" display="https://www.pexels.com/photo/35104307/"/>
    <hyperlink ref="E7" r:id="rId16" display="Château de Fougères"/>
    <hyperlink ref="A8" r:id="rId17" display="https://www.pexels.com/photo/34939467/"/>
    <hyperlink ref="E8" r:id="rId18" display="Saint-Planchers"/>
    <hyperlink ref="A9" r:id="rId19" display="https://www.pexels.com/photo/34894969/"/>
    <hyperlink ref="E9" r:id="rId20" display="Îles Chausey"/>
    <hyperlink ref="A10" r:id="rId21" display="https://www.pexels.com/photo/34849705/"/>
    <hyperlink ref="E10" r:id="rId22" display="Abbaye du Mont-Saint-Michel"/>
    <hyperlink ref="A11" r:id="rId23" display="https://www.pexels.com/photo/35168742/"/>
    <hyperlink ref="A12" r:id="rId24" display="https://www.pexels.com/photo/32053231/"/>
    <hyperlink ref="A13" r:id="rId25" display="https://www.pexels.com/photo/12076681/"/>
    <hyperlink ref="A14" r:id="rId26" display="https://www.pexels.com/photo/39517000/"/>
    <hyperlink ref="A15" r:id="rId27" display="https://www.pexels.com/photo/34500384/"/>
    <hyperlink ref="H15" r:id="rId28" display="Cognac - hôtel de ville - 2025.jpg"/>
    <hyperlink ref="A16" r:id="rId29" display="https://www.pexels.com/photo/39903594/"/>
    <hyperlink ref="E16" r:id="rId30" display="Casa consistorial de Bilbao"/>
    <hyperlink ref="H16" r:id="rId31" display="Bilbao - hôtel de ville, statue de la Loi - 2026.jpg"/>
    <hyperlink ref="A17" r:id="rId32" display="https://www.pexels.com/photo/38694057/"/>
    <hyperlink ref="A18" r:id="rId33" display="https://www.pexels.com/photo/40274380/"/>
    <hyperlink ref="A19" r:id="rId34" display="https://www.pexels.com/photo/34894953/"/>
    <hyperlink ref="E19" r:id="rId35" display="Îles Chausey"/>
    <hyperlink ref="H19" r:id="rId36" display="Îles Chausey - phare du Loup dans la brume - 2025.jpg"/>
    <hyperlink ref="A20" r:id="rId37" display="https://www.pexels.com/photo/39212543/"/>
    <hyperlink ref="E20" r:id="rId38" display="Pic du Midi d'Ossau"/>
    <hyperlink ref="H20" r:id="rId39" display="Pic du Midi d'Ossau - vu du nord - 2026.jpg"/>
    <hyperlink ref="A21" r:id="rId40" display="https://www.pexels.com/photo/39903591/"/>
    <hyperlink ref="E21" r:id="rId41" display="Cathédrale Saint-Jacques de Bilbao"/>
    <hyperlink ref="H21" r:id="rId42" display="Bilbao - cathédrale Saint-Jacques, façade et flèche - 2026.jpg"/>
    <hyperlink ref="A22" r:id="rId43" display="https://www.pexels.com/photo/38694047/"/>
    <hyperlink ref="E22" r:id="rId44" display="Parterre"/>
    <hyperlink ref="H22" r:id="rId45" display="Villandry - jardins du château vus d'en haut - 2026.jpg"/>
    <hyperlink ref="A23" r:id="rId46" display="https://www.pexels.com/photo/33035661/"/>
    <hyperlink ref="E23" r:id="rId47" display="Niort"/>
    <hyperlink ref="H23" r:id="rId48" display="Niort - flèches de l'église Saint-André dans la verdure - 2025.jpg"/>
    <hyperlink ref="A24" r:id="rId49" display="https://www.pexels.com/photo/39903593/"/>
    <hyperlink ref="E24" r:id="rId50" display="Bilboko udaletxea"/>
    <hyperlink ref="H24" r:id="rId51" display="Bilbao - hôtel de ville, statue de la Justice - 2026.jpg"/>
    <hyperlink ref="E25" r:id="rId52" display="Hôtel de ville de Niort"/>
    <hyperlink ref="H25" r:id="rId53" display="Niort - hôtel de ville, façade - 2026.jpg"/>
    <hyperlink ref="A26" r:id="rId54" display="https://www.pexels.com/photo/38694055/"/>
    <hyperlink ref="E26" r:id="rId55" display="Château de Villandry"/>
    <hyperlink ref="H26" r:id="rId56" display="Villandry - jardin d'ornement, Amour passionné - 2026.jpg"/>
    <hyperlink ref="A27" r:id="rId57" display="https://www.pexels.com/photo/38694059/"/>
    <hyperlink ref="E27" r:id="rId58" display="Château de Villandry"/>
    <hyperlink ref="H27" r:id="rId59" display="Villandry - potager décoratif vu d'en haut - 2026.jpg"/>
    <hyperlink ref="A28" r:id="rId60" display="https://www.pexels.com/photo/38694048/"/>
    <hyperlink ref="E28" r:id="rId61" display="Château de Villandry"/>
    <hyperlink ref="H28" r:id="rId62" display="Villandry - jardin d'eau et château - 2026.jpg"/>
    <hyperlink ref="A29" r:id="rId63" display="https://www.pexels.com/photo/13041935/"/>
    <hyperlink ref="E29" r:id="rId64" display="Lac de Longemer"/>
    <hyperlink ref="H29" r:id="rId65" display="Xonrupt-Longemer - chapelle Saint-Florent - 2022.jpg"/>
    <hyperlink ref="A30" r:id="rId66" display="https://www.pexels.com/photo/34894970/"/>
    <hyperlink ref="E30" r:id="rId67" display="Islas Chausey"/>
    <hyperlink ref="H30" r:id="rId68" display="Îles Chausey - le phare vu de la mer - 2025.jpg"/>
    <hyperlink ref="A31" r:id="rId69" display="https://www.pexels.com/photo/38995522/"/>
    <hyperlink ref="E31" r:id="rId70" display="Éclipse solaire du 12 août 2026"/>
    <hyperlink ref="H31" r:id="rId71" display="Éclipse totale de Soleil du 12 août 2026 vue de Galice.jpg"/>
    <hyperlink ref="A32" r:id="rId72" display="https://www.pexels.com/photo/38279504/"/>
    <hyperlink ref="E32" r:id="rId73" display="Hôtel de ville de Niort"/>
    <hyperlink ref="H32" r:id="rId74" display="Niort - hôtel de ville - 2026.jpg"/>
    <hyperlink ref="A33" r:id="rId75" display="https://www.pexels.com/photo/39423921/"/>
    <hyperlink ref="E33" r:id="rId76" display="Irungo Udala"/>
    <hyperlink ref="H33" r:id="rId77" display="Irun - hôtel de ville (Casa consistorial) - 2026.jpg"/>
    <hyperlink ref="A34" r:id="rId78" display="https://www.pexels.com/photo/39228699/"/>
    <hyperlink ref="E34" r:id="rId79" display="Universidá Llaboral de Xixón"/>
    <hyperlink ref="H34" r:id="rId80" display="Gijón - Universidad Laboral, tour et église - 2026.jpg"/>
    <hyperlink ref="A35" r:id="rId81" display="https://www.pexels.com/photo/39376205/"/>
    <hyperlink ref="E35" r:id="rId82" display="Monument aux Girondins"/>
    <hyperlink ref="H35" r:id="rId83" display="Bordeaux - monument aux Girondins, Génie de la Liberté - 2026.jpg"/>
    <hyperlink ref="A36" r:id="rId84" display="https://www.pexels.com/photo/13087478/"/>
    <hyperlink ref="E36" r:id="rId85" display="Moyemont"/>
    <hyperlink ref="H36" r:id="rId86" display="Moyemont - chemin bordé d'arbres - 2022.jpg"/>
    <hyperlink ref="A37" r:id="rId87" display="https://www.pexels.com/photo/39182179/"/>
    <hyperlink ref="E37" r:id="rId88" display="Dolmen de Buzy"/>
    <hyperlink ref="H37" r:id="rId89" display="Buzy - dolmen - 2026.jpg"/>
    <hyperlink ref="A38" r:id="rId90" display="https://www.pexels.com/photo/38279508/"/>
    <hyperlink ref="E38" r:id="rId91" display="Hôtel de préfecture des Deux-Sèvres"/>
    <hyperlink ref="H38" r:id="rId92" display="Niort - hôtel de préfecture des Deux-Sèvres - 2026.jpg"/>
    <hyperlink ref="A39" r:id="rId93" display="https://www.pexels.com/photo/23414381/"/>
    <hyperlink ref="E39" r:id="rId94" display="Église Saint-André de Niort"/>
    <hyperlink ref="H39" r:id="rId95" display="Niort - église Saint-André au-dessus de la ville - 2024.jpg"/>
    <hyperlink ref="A40" r:id="rId96" display="https://www.pexels.com/photo/34894959/"/>
    <hyperlink ref="E40" r:id="rId97" display="Phare de Chausey"/>
    <hyperlink ref="H40" r:id="rId98" display="Îles Chausey - la tour du phare - 2025.jpg"/>
    <hyperlink ref="A41" r:id="rId99" display="https://www.pexels.com/photo/40189673/"/>
    <hyperlink ref="A42" r:id="rId100" display="https://www.pexels.com/photo/33035634/"/>
    <hyperlink ref="A43" r:id="rId101" display="https://www.pexels.com/photo/38688488/"/>
    <hyperlink ref="A44" r:id="rId102" display="https://www.pexels.com/photo/13673408/"/>
    <hyperlink ref="A45" r:id="rId103" display="https://www.pexels.com/photo/39903592/"/>
    <hyperlink ref="A46" r:id="rId104" display="https://www.pexels.com/photo/39386274/"/>
    <hyperlink ref="A47" r:id="rId105" display="https://www.pexels.com/photo/40014636/"/>
    <hyperlink ref="A48" r:id="rId106" display="https://www.pexels.com/photo/18890794/"/>
    <hyperlink ref="A49" r:id="rId107" display="https://www.pexels.com/photo/12976374/"/>
    <hyperlink ref="A50" r:id="rId108" display="https://www.pexels.com/photo/16141463/"/>
    <hyperlink ref="A51" r:id="rId109" display="https://www.pexels.com/photo/31514837/"/>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80"/>
  </cols>
  <sheetData>
    <row r="1" customFormat="false" ht="15" hidden="false" customHeight="false" outlineLevel="0" collapsed="false">
      <c r="A1" s="14" t="s">
        <v>2</v>
      </c>
      <c r="B1" s="14" t="s">
        <v>205</v>
      </c>
      <c r="C1" s="14" t="s">
        <v>206</v>
      </c>
    </row>
    <row r="2" customFormat="false" ht="15" hidden="false" customHeight="false" outlineLevel="0" collapsed="false">
      <c r="A2" s="15" t="s">
        <v>12</v>
      </c>
      <c r="B2" s="16" t="n">
        <f aca="false">COUNTIF(Suivi!$C$2:$C$51,A2)</f>
        <v>4</v>
      </c>
      <c r="C2" s="16" t="s">
        <v>207</v>
      </c>
    </row>
    <row r="3" customFormat="false" ht="15" hidden="false" customHeight="false" outlineLevel="0" collapsed="false">
      <c r="A3" s="17" t="s">
        <v>42</v>
      </c>
      <c r="B3" s="16" t="n">
        <f aca="false">COUNTIF(Suivi!$C$2:$C$51,A3)</f>
        <v>5</v>
      </c>
      <c r="C3" s="16" t="s">
        <v>208</v>
      </c>
    </row>
    <row r="4" customFormat="false" ht="15" hidden="false" customHeight="false" outlineLevel="0" collapsed="false">
      <c r="A4" s="18" t="s">
        <v>57</v>
      </c>
      <c r="B4" s="16" t="n">
        <f aca="false">COUNTIF(Suivi!$C$2:$C$51,A4)</f>
        <v>4</v>
      </c>
      <c r="C4" s="16" t="s">
        <v>209</v>
      </c>
    </row>
    <row r="5" customFormat="false" ht="15" hidden="false" customHeight="false" outlineLevel="0" collapsed="false">
      <c r="A5" s="19" t="s">
        <v>66</v>
      </c>
      <c r="B5" s="16" t="n">
        <f aca="false">COUNTIF(Suivi!$C$2:$C$51,A5)</f>
        <v>4</v>
      </c>
      <c r="C5" s="16" t="s">
        <v>210</v>
      </c>
    </row>
    <row r="6" customFormat="false" ht="15" hidden="false" customHeight="false" outlineLevel="0" collapsed="false">
      <c r="A6" s="20" t="s">
        <v>79</v>
      </c>
      <c r="B6" s="16" t="n">
        <f aca="false">COUNTIF(Suivi!$C$2:$C$51,A6)</f>
        <v>22</v>
      </c>
      <c r="C6" s="16" t="s">
        <v>211</v>
      </c>
    </row>
    <row r="7" customFormat="false" ht="15" hidden="false" customHeight="false" outlineLevel="0" collapsed="false">
      <c r="A7" s="21" t="s">
        <v>183</v>
      </c>
      <c r="B7" s="16" t="n">
        <f aca="false">COUNTIF(Suivi!$C$2:$C$51,A7)</f>
        <v>11</v>
      </c>
      <c r="C7" s="16" t="s">
        <v>212</v>
      </c>
    </row>
    <row r="8" customFormat="false" ht="15" hidden="false" customHeight="false" outlineLevel="0" collapsed="false">
      <c r="A8" s="14" t="s">
        <v>213</v>
      </c>
      <c r="B8" s="16" t="n">
        <f aca="false">SUM(B2:B7)</f>
        <v>50</v>
      </c>
      <c r="C8" s="16" t="s">
        <v>214</v>
      </c>
    </row>
    <row r="9" customFormat="false" ht="15" hidden="false" customHeight="false" outlineLevel="0" collapsed="false">
      <c r="A9" s="16"/>
      <c r="B9" s="16"/>
      <c r="C9" s="16"/>
    </row>
    <row r="10" customFormat="false" ht="91" hidden="false" customHeight="false" outlineLevel="0" collapsed="false">
      <c r="A10" s="16" t="s">
        <v>215</v>
      </c>
      <c r="B10" s="16"/>
      <c r="C10"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0"/>
    <col collapsed="false" customWidth="true" hidden="false" outlineLevel="0" max="3" min="3" style="0" width="12"/>
    <col collapsed="false" customWidth="true" hidden="false" outlineLevel="0" max="4" min="4" style="0" width="40"/>
  </cols>
  <sheetData>
    <row r="1" customFormat="false" ht="15" hidden="false" customHeight="false" outlineLevel="0" collapsed="false">
      <c r="A1" s="22" t="s">
        <v>0</v>
      </c>
      <c r="B1" s="22" t="s">
        <v>216</v>
      </c>
      <c r="C1" s="22" t="s">
        <v>3</v>
      </c>
      <c r="D1" s="22" t="s">
        <v>4</v>
      </c>
    </row>
    <row r="2" customFormat="false" ht="15" hidden="false" customHeight="false" outlineLevel="0" collapsed="false">
      <c r="A2" s="23" t="n">
        <v>23414382</v>
      </c>
      <c r="B2" s="24" t="s">
        <v>17</v>
      </c>
      <c r="C2" s="24" t="s">
        <v>13</v>
      </c>
      <c r="D2" s="24" t="s">
        <v>14</v>
      </c>
    </row>
    <row r="3" customFormat="false" ht="15" hidden="false" customHeight="false" outlineLevel="0" collapsed="false">
      <c r="A3" s="23" t="n">
        <v>13263155</v>
      </c>
      <c r="B3" s="24" t="s">
        <v>25</v>
      </c>
      <c r="C3" s="24" t="s">
        <v>21</v>
      </c>
      <c r="D3" s="24" t="s">
        <v>22</v>
      </c>
    </row>
    <row r="4" customFormat="false" ht="15" hidden="false" customHeight="false" outlineLevel="0" collapsed="false">
      <c r="A4" s="23" t="n">
        <v>39228273</v>
      </c>
      <c r="B4" s="24" t="s">
        <v>32</v>
      </c>
      <c r="C4" s="24" t="s">
        <v>28</v>
      </c>
      <c r="D4" s="24" t="s">
        <v>29</v>
      </c>
    </row>
    <row r="5" customFormat="false" ht="15" hidden="false" customHeight="false" outlineLevel="0" collapsed="false">
      <c r="A5" s="23" t="n">
        <v>19047674</v>
      </c>
      <c r="B5" s="24" t="s">
        <v>39</v>
      </c>
      <c r="C5" s="24" t="s">
        <v>35</v>
      </c>
      <c r="D5" s="24" t="s">
        <v>36</v>
      </c>
    </row>
    <row r="6" customFormat="false" ht="15" hidden="false" customHeight="false" outlineLevel="0" collapsed="false">
      <c r="A6" s="24"/>
      <c r="B6" s="24"/>
      <c r="C6" s="24"/>
      <c r="D6" s="24"/>
    </row>
    <row r="7" customFormat="false" ht="91" hidden="false" customHeight="false" outlineLevel="0" collapsed="false">
      <c r="A7" s="24" t="s">
        <v>217</v>
      </c>
      <c r="B7" s="24"/>
      <c r="C7" s="24"/>
      <c r="D7" s="24"/>
    </row>
    <row r="8" customFormat="false" ht="375" hidden="false" customHeight="true" outlineLevel="0" collapsed="false">
      <c r="A8" s="25" t="s">
        <v>218</v>
      </c>
      <c r="B8" s="25"/>
      <c r="C8" s="25"/>
      <c r="D8" s="25"/>
    </row>
  </sheetData>
  <mergeCells count="1">
    <mergeCell ref="A8:D8"/>
  </mergeCells>
  <hyperlinks>
    <hyperlink ref="A2" r:id="rId1" display="https://www.pexels.com/photo/23414382/"/>
    <hyperlink ref="A3" r:id="rId2" display="https://www.pexels.com/photo/13263155/"/>
    <hyperlink ref="A4" r:id="rId3" display="https://www.pexels.com/photo/39228273/"/>
    <hyperlink ref="A5" r:id="rId4" display="https://www.pexels.com/photo/1904767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2026-10-30T20:23:31Z</dcterms:created>
  <dc:creator>openpyxl</dc:creator>
  <dc:description/>
  <dc:language>en-US</dc:language>
  <cp:lastModifiedBy/>
  <dcterms:modified xsi:type="dcterms:W3CDTF">2026-10-30T20:23:31Z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